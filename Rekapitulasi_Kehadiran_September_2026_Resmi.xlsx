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kap 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44"/>
  <sheetViews>
    <sheetView workbookViewId="0"/>
  </sheetViews>
  <cols>
    <col min="1" max="1" width="2.83203125" customWidth="1"/>
    <col min="2" max="2" width="8.83203125" customWidth="1"/>
    <col min="3" max="3" width="10.83203125" customWidth="1"/>
    <col min="4" max="4" width="8.83203125" customWidth="1"/>
    <col min="5" max="5" width="12.83203125" customWidth="1"/>
    <col min="6" max="6" width="4.83203125" customWidth="1"/>
    <col min="7" max="7" width="4.83203125" customWidth="1"/>
    <col min="8" max="8" width="6.83203125" customWidth="1"/>
    <col min="9" max="9" width="4.83203125" customWidth="1"/>
    <col min="10" max="10" width="2.83203125" customWidth="1"/>
    <col min="11" max="11" width="8.83203125" customWidth="1"/>
    <col min="12" max="12" width="8.83203125" customWidth="1"/>
    <col min="13" max="13" width="6.83203125" customWidth="1"/>
    <col min="14" max="14" width="4.83203125" customWidth="1"/>
    <col min="15" max="15" width="8.83203125" customWidth="1"/>
    <col min="16" max="16" width="6.83203125" customWidth="1"/>
    <col min="17" max="17" width="4.83203125" customWidth="1"/>
    <col min="18" max="18" width="6.83203125" customWidth="1"/>
    <col min="19" max="19" width="10.83203125" customWidth="1"/>
    <col min="20" max="20" width="6.83203125" customWidth="1"/>
    <col min="21" max="21" width="4.83203125" customWidth="1"/>
    <col min="22" max="22" width="4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6.83203125" customWidth="1"/>
    <col min="28" max="28" width="4.83203125" customWidth="1"/>
    <col min="29" max="29" width="6.83203125" customWidth="1"/>
    <col min="30" max="30" width="8.83203125" customWidth="1"/>
    <col min="31" max="31" width="4.83203125" customWidth="1"/>
    <col min="32" max="32" width="26.83203125" customWidth="1"/>
    <col min="33" max="33" width="10.83203125" customWidth="1"/>
    <col min="34" max="34" width="8.83203125" customWidth="1"/>
    <col min="35" max="35" width="4.83203125" customWidth="1"/>
    <col min="36" max="36" width="2.83203125" customWidth="1"/>
    <col min="37" max="37" width="8.83203125" customWidth="1"/>
    <col min="38" max="38" width="16.83203125" customWidth="1"/>
  </cols>
  <sheetData>
    <row r="1">
      <c r="A1" t="str">
        <v>Laporan Rekapitulasi</v>
      </c>
    </row>
    <row r="2">
      <c r="Q2" t="str">
        <v>(FHISIP September 2026)</v>
      </c>
    </row>
    <row r="3">
      <c r="AB3" t="str">
        <v>Dari 01-09-2026 s/d 30-09-2026</v>
      </c>
    </row>
    <row r="10" xml:space="preserve">
      <c r="B10" t="str">
        <v>Nama</v>
      </c>
      <c r="F10" t="str">
        <v>No. ID</v>
      </c>
      <c r="K10" t="str">
        <v>Normal</v>
      </c>
      <c r="L10" t="str">
        <v>Riil</v>
      </c>
      <c r="M10" t="str">
        <v>Absen</v>
      </c>
      <c r="O10" t="str">
        <v>Trlmbt</v>
      </c>
      <c r="P10" t="str">
        <v>Plg. Cpt</v>
      </c>
      <c r="R10" t="str">
        <v>Lmbr</v>
      </c>
      <c r="S10" t="str">
        <v>Tanpa Keterangan</v>
      </c>
      <c r="T10" t="str">
        <v>D.Luar</v>
      </c>
      <c r="W10" t="str">
        <v>N/In</v>
      </c>
      <c r="X10" t="str">
        <v>N/Out</v>
      </c>
      <c r="Y10" t="str">
        <v>Scan</v>
      </c>
      <c r="Z10" t="str">
        <v>Sakit</v>
      </c>
      <c r="AA10" t="str">
        <v>Cuti</v>
      </c>
      <c r="AC10" t="str">
        <v>Ijin</v>
      </c>
      <c r="AD10" t="str">
        <v>Kehadiran</v>
      </c>
      <c r="AF10" t="str">
        <v>Keterangan</v>
      </c>
      <c r="AG10" t="str">
        <v>Jam Kerja</v>
      </c>
      <c r="AH10" t="str" xml:space="preserve">
        <v xml:space="preserve">Rata-2
%</v>
      </c>
      <c r="AK10" t="str">
        <v>Faktor</v>
      </c>
    </row>
    <row r="11">
      <c r="M11" t="str">
        <v>Hari</v>
      </c>
      <c r="AG11" t="str">
        <v>Jam</v>
      </c>
    </row>
    <row r="12">
      <c r="B12" t="str">
        <v>ADMINISTRASI</v>
      </c>
    </row>
    <row r="13">
      <c r="B13" t="str">
        <v>Acep Surya</v>
      </c>
      <c r="G13">
        <v>1148</v>
      </c>
      <c r="K13">
        <v>22</v>
      </c>
      <c r="L13">
        <f>K13-M13</f>
        <v>22</v>
      </c>
      <c r="M13">
        <f>T13+Z13+AA13+AC13</f>
        <v>0</v>
      </c>
      <c r="X13">
        <v>1</v>
      </c>
      <c r="AD13">
        <f>K13-M13</f>
        <v>22</v>
      </c>
      <c r="AF13" t="str">
        <v>WFH</v>
      </c>
      <c r="AK13">
        <v>1</v>
      </c>
    </row>
    <row r="14">
      <c r="B14" t="str">
        <v>ANTO HIDAY</v>
      </c>
      <c r="G14">
        <v>1552</v>
      </c>
      <c r="K14">
        <v>22</v>
      </c>
      <c r="L14">
        <f>K14-M14</f>
        <v>22</v>
      </c>
      <c r="M14">
        <f>T14+Z14+AA14+AC14</f>
        <v>0</v>
      </c>
      <c r="W14">
        <v>1</v>
      </c>
      <c r="X14">
        <v>1</v>
      </c>
      <c r="AD14">
        <f>K14-M14</f>
        <v>22</v>
      </c>
      <c r="AF14" t="str">
        <v>WFH</v>
      </c>
      <c r="AK14">
        <v>1</v>
      </c>
    </row>
    <row r="15">
      <c r="B15" t="str">
        <v>Asia Susanti, S.S.</v>
      </c>
      <c r="G15">
        <v>1989</v>
      </c>
      <c r="K15">
        <v>22</v>
      </c>
      <c r="L15">
        <f>K15-M15</f>
        <v>22</v>
      </c>
      <c r="M15">
        <f>T15+Z15+AA15+AC15</f>
        <v>0</v>
      </c>
      <c r="X15">
        <v>1</v>
      </c>
      <c r="AD15">
        <f>K15-M15</f>
        <v>22</v>
      </c>
      <c r="AF15" t="str">
        <v>WFH</v>
      </c>
      <c r="AK15">
        <v>1</v>
      </c>
    </row>
    <row r="16">
      <c r="B16" t="str">
        <v>AZRUL REZA RIFQI A</v>
      </c>
      <c r="G16">
        <v>2193</v>
      </c>
      <c r="K16">
        <v>22</v>
      </c>
      <c r="L16">
        <f>K16-M16</f>
        <v>22</v>
      </c>
      <c r="M16">
        <f>T16+Z16+AA16+AC16</f>
        <v>0</v>
      </c>
      <c r="AD16">
        <f>K16-M16</f>
        <v>22</v>
      </c>
      <c r="AF16" t="str">
        <v>WFH</v>
      </c>
      <c r="AK16">
        <v>1</v>
      </c>
    </row>
    <row r="17">
      <c r="B17" t="str">
        <v>Azzahra Rabiatul Adawiy</v>
      </c>
      <c r="G17">
        <v>1931</v>
      </c>
      <c r="K17">
        <v>22</v>
      </c>
      <c r="L17">
        <f>K17-M17</f>
        <v>22</v>
      </c>
      <c r="M17">
        <f>T17+Z17+AA17+AC17</f>
        <v>0</v>
      </c>
      <c r="X17">
        <v>1</v>
      </c>
      <c r="AD17">
        <f>K17-M17</f>
        <v>22</v>
      </c>
      <c r="AF17" t="str">
        <v>WFH</v>
      </c>
      <c r="AK17">
        <v>1</v>
      </c>
    </row>
    <row r="18">
      <c r="B18" t="str">
        <v>CAECILIA M</v>
      </c>
      <c r="G18">
        <v>2227</v>
      </c>
      <c r="K18">
        <v>22</v>
      </c>
      <c r="L18">
        <f>K18-M18</f>
        <v>21</v>
      </c>
      <c r="M18">
        <f>T18+Z18+AA18+AC18</f>
        <v>1</v>
      </c>
      <c r="X18">
        <v>1</v>
      </c>
      <c r="AA18">
        <v>1</v>
      </c>
      <c r="AD18">
        <f>K18-M18</f>
        <v>21</v>
      </c>
      <c r="AF18" t="str">
        <v>WFH, Cuti Tahunan / Bersama</v>
      </c>
      <c r="AK18">
        <v>1</v>
      </c>
    </row>
    <row r="19">
      <c r="B19" t="str">
        <v>Eka Indria</v>
      </c>
      <c r="G19">
        <v>2835</v>
      </c>
      <c r="K19">
        <v>22</v>
      </c>
      <c r="L19">
        <f>K19-M19</f>
        <v>20</v>
      </c>
      <c r="M19">
        <f>T19+Z19+AA19+AC19</f>
        <v>2</v>
      </c>
      <c r="AA19">
        <v>2</v>
      </c>
      <c r="AD19">
        <f>K19-M19</f>
        <v>20</v>
      </c>
      <c r="AF19" t="str">
        <v>WFH, Cuti Tahunan / Bersama</v>
      </c>
      <c r="AK19">
        <v>1</v>
      </c>
    </row>
    <row r="20">
      <c r="B20" t="str">
        <v>Elisa Pandanwangi, S.So</v>
      </c>
      <c r="G20">
        <v>1404</v>
      </c>
      <c r="K20">
        <v>22</v>
      </c>
      <c r="L20">
        <f>K20-M20</f>
        <v>22</v>
      </c>
      <c r="M20">
        <f>T20+Z20+AA20+AC20</f>
        <v>0</v>
      </c>
      <c r="X20">
        <v>3</v>
      </c>
      <c r="AD20">
        <f>K20-M20</f>
        <v>22</v>
      </c>
      <c r="AF20" t="str">
        <v>WFH</v>
      </c>
      <c r="AK20">
        <v>1</v>
      </c>
    </row>
    <row r="21">
      <c r="B21" t="str">
        <v>Endang Ism</v>
      </c>
      <c r="G21">
        <v>1372</v>
      </c>
      <c r="K21">
        <v>22</v>
      </c>
      <c r="L21">
        <f>K21-M21</f>
        <v>22</v>
      </c>
      <c r="M21">
        <f>T21+Z21+AA21+AC21</f>
        <v>0</v>
      </c>
      <c r="X21">
        <v>1</v>
      </c>
      <c r="AD21">
        <f>K21-M21</f>
        <v>22</v>
      </c>
      <c r="AF21" t="str">
        <v>WFH</v>
      </c>
      <c r="AK21">
        <v>1</v>
      </c>
    </row>
    <row r="22">
      <c r="B22" t="str">
        <v>ERIKA DARM</v>
      </c>
      <c r="G22">
        <v>2467</v>
      </c>
      <c r="K22">
        <v>22</v>
      </c>
      <c r="L22">
        <f>K22-M22</f>
        <v>21</v>
      </c>
      <c r="M22">
        <f>T22+Z22+AA22+AC22</f>
        <v>1</v>
      </c>
      <c r="X22">
        <v>1</v>
      </c>
      <c r="AA22">
        <v>1</v>
      </c>
      <c r="AD22">
        <f>K22-M22</f>
        <v>21</v>
      </c>
      <c r="AF22" t="str">
        <v>WFH, Cuti Tahunan / Bersama</v>
      </c>
      <c r="AK22">
        <v>1</v>
      </c>
    </row>
    <row r="23">
      <c r="B23" t="str">
        <v>GILANG MUNGGARAN</v>
      </c>
      <c r="G23">
        <v>1194</v>
      </c>
      <c r="K23">
        <v>22</v>
      </c>
      <c r="L23">
        <f>K23-M23</f>
        <v>17</v>
      </c>
      <c r="M23">
        <f>T23+Z23+AA23+AC23</f>
        <v>5</v>
      </c>
      <c r="AA23">
        <v>5</v>
      </c>
      <c r="AD23">
        <f>K23-M23</f>
        <v>17</v>
      </c>
      <c r="AF23" t="str">
        <v>Cuti Tahunan / Bersama, WFH</v>
      </c>
      <c r="AK23">
        <v>1</v>
      </c>
    </row>
    <row r="24">
      <c r="B24" t="str">
        <v>IRSANTI WI</v>
      </c>
      <c r="G24">
        <v>2567</v>
      </c>
      <c r="K24">
        <v>22</v>
      </c>
      <c r="L24">
        <f>K24-M24</f>
        <v>22</v>
      </c>
      <c r="M24">
        <f>T24+Z24+AA24+AC24</f>
        <v>0</v>
      </c>
      <c r="X24">
        <v>1</v>
      </c>
      <c r="AD24">
        <f>K24-M24</f>
        <v>22</v>
      </c>
      <c r="AF24" t="str">
        <v>WFH</v>
      </c>
      <c r="AK24">
        <v>1</v>
      </c>
    </row>
    <row r="25">
      <c r="B25" t="str">
        <v>Iwan Ruswa</v>
      </c>
      <c r="G25">
        <v>1302</v>
      </c>
      <c r="K25">
        <v>22</v>
      </c>
      <c r="L25">
        <f>K25-M25</f>
        <v>21</v>
      </c>
      <c r="M25">
        <f>T25+Z25+AA25+AC25</f>
        <v>1</v>
      </c>
      <c r="X25">
        <v>1</v>
      </c>
      <c r="Z25">
        <v>1</v>
      </c>
      <c r="AD25">
        <f>K25-M25</f>
        <v>21</v>
      </c>
      <c r="AF25" t="str">
        <v>Izin Sakit, WFH</v>
      </c>
      <c r="AK25">
        <v>1</v>
      </c>
    </row>
    <row r="26">
      <c r="B26" t="str">
        <v>Karlia Zainul, S.kom.i</v>
      </c>
      <c r="G26">
        <v>2705</v>
      </c>
      <c r="K26">
        <v>22</v>
      </c>
      <c r="L26">
        <f>K26-M26</f>
        <v>21</v>
      </c>
      <c r="M26">
        <f>T26+Z26+AA26+AC26</f>
        <v>1</v>
      </c>
      <c r="X26">
        <v>1</v>
      </c>
      <c r="AA26">
        <v>1</v>
      </c>
      <c r="AD26">
        <f>K26-M26</f>
        <v>21</v>
      </c>
      <c r="AF26" t="str">
        <v>WFH, Cuti Tahunan / Bersama</v>
      </c>
      <c r="AK26">
        <v>1</v>
      </c>
    </row>
    <row r="27">
      <c r="B27" t="str">
        <v>Lisa Dea Plasenta, S.K.</v>
      </c>
      <c r="G27">
        <v>1706</v>
      </c>
      <c r="K27">
        <v>22</v>
      </c>
      <c r="L27">
        <f>K27-M27</f>
        <v>22</v>
      </c>
      <c r="M27">
        <f>T27+Z27+AA27+AC27</f>
        <v>0</v>
      </c>
      <c r="X27">
        <v>1</v>
      </c>
      <c r="AD27">
        <f>K27-M27</f>
        <v>22</v>
      </c>
      <c r="AF27" t="str">
        <v>WFH</v>
      </c>
      <c r="AK27">
        <v>1</v>
      </c>
    </row>
    <row r="28">
      <c r="B28" t="str">
        <v>M. Rizki Adiyaksa</v>
      </c>
      <c r="G28">
        <v>1973</v>
      </c>
      <c r="K28">
        <v>22</v>
      </c>
      <c r="L28">
        <f>K28-M28</f>
        <v>21</v>
      </c>
      <c r="M28">
        <f>T28+Z28+AA28+AC28</f>
        <v>1</v>
      </c>
      <c r="P28">
        <v>1</v>
      </c>
      <c r="X28">
        <v>1</v>
      </c>
      <c r="Z28">
        <v>1</v>
      </c>
      <c r="AD28">
        <f>K28-M28</f>
        <v>21</v>
      </c>
      <c r="AF28" t="str">
        <v>Izin Sakit, WFH</v>
      </c>
      <c r="AK28">
        <v>1</v>
      </c>
    </row>
    <row r="29">
      <c r="B29" t="str">
        <v>MEITA ISTI</v>
      </c>
      <c r="G29">
        <v>1574</v>
      </c>
      <c r="K29">
        <v>22</v>
      </c>
      <c r="L29">
        <f>K29-M29</f>
        <v>20</v>
      </c>
      <c r="M29">
        <f>T29+Z29+AA29+AC29</f>
        <v>2</v>
      </c>
      <c r="X29">
        <v>1</v>
      </c>
      <c r="Z29">
        <v>2</v>
      </c>
      <c r="AD29">
        <f>K29-M29</f>
        <v>20</v>
      </c>
      <c r="AF29" t="str">
        <v>WFH, Izin Sakit</v>
      </c>
      <c r="AK29">
        <v>1</v>
      </c>
    </row>
    <row r="30">
      <c r="B30" t="str">
        <v>MUHAMAD LAZUARDI</v>
      </c>
      <c r="G30">
        <v>2339</v>
      </c>
      <c r="K30">
        <v>22</v>
      </c>
      <c r="L30">
        <f>K30-M30</f>
        <v>21</v>
      </c>
      <c r="M30">
        <f>T30+Z30+AA30+AC30</f>
        <v>1</v>
      </c>
      <c r="P30">
        <v>1</v>
      </c>
      <c r="X30">
        <v>1</v>
      </c>
      <c r="AA30">
        <v>1</v>
      </c>
      <c r="AD30">
        <f>K30-M30</f>
        <v>21</v>
      </c>
      <c r="AF30" t="str">
        <v>WFH, Cuti Tahunan / Bersama</v>
      </c>
      <c r="AK30">
        <v>1</v>
      </c>
    </row>
    <row r="31">
      <c r="B31" t="str">
        <v>Muhammad Jati Eko</v>
      </c>
      <c r="G31">
        <v>2233</v>
      </c>
      <c r="K31">
        <v>22</v>
      </c>
      <c r="L31">
        <f>K31-M31</f>
        <v>22</v>
      </c>
      <c r="M31">
        <f>T31+Z31+AA31+AC31</f>
        <v>0</v>
      </c>
      <c r="X31">
        <v>1</v>
      </c>
      <c r="AD31">
        <f>K31-M31</f>
        <v>22</v>
      </c>
      <c r="AF31" t="str">
        <v>WFH</v>
      </c>
      <c r="AK31">
        <v>1</v>
      </c>
    </row>
    <row r="32">
      <c r="B32" t="str">
        <v>Muhammad Yossy Kusuma,</v>
      </c>
      <c r="G32">
        <v>2701</v>
      </c>
      <c r="K32">
        <v>22</v>
      </c>
      <c r="L32">
        <f>K32-M32</f>
        <v>22</v>
      </c>
      <c r="M32">
        <f>T32+Z32+AA32+AC32</f>
        <v>0</v>
      </c>
      <c r="X32">
        <v>1</v>
      </c>
      <c r="AD32">
        <f>K32-M32</f>
        <v>22</v>
      </c>
      <c r="AF32" t="str">
        <v>WFH</v>
      </c>
      <c r="AK32">
        <v>1</v>
      </c>
    </row>
    <row r="33">
      <c r="B33" t="str">
        <v>Muhammad Yusuf Wibisana</v>
      </c>
      <c r="G33">
        <v>1280</v>
      </c>
      <c r="K33">
        <v>22</v>
      </c>
      <c r="L33">
        <f>K33-M33</f>
        <v>22</v>
      </c>
      <c r="M33">
        <f>T33+Z33+AA33+AC33</f>
        <v>0</v>
      </c>
      <c r="AD33">
        <f>K33-M33</f>
        <v>22</v>
      </c>
      <c r="AF33" t="str">
        <v>WFH</v>
      </c>
      <c r="AK33">
        <v>1</v>
      </c>
    </row>
    <row r="34">
      <c r="B34" t="str">
        <v>Raden Roro Siti Fatimah</v>
      </c>
      <c r="G34">
        <v>2707</v>
      </c>
      <c r="K34">
        <v>22</v>
      </c>
      <c r="L34">
        <f>K34-M34</f>
        <v>17</v>
      </c>
      <c r="M34">
        <f>T34+Z34+AA34+AC34</f>
        <v>5</v>
      </c>
      <c r="W34">
        <v>4</v>
      </c>
      <c r="X34">
        <v>1</v>
      </c>
      <c r="AA34">
        <v>5</v>
      </c>
      <c r="AD34">
        <f>K34-M34</f>
        <v>17</v>
      </c>
      <c r="AF34" t="str">
        <v>WFH, Cuti Tahunan / Bersama</v>
      </c>
      <c r="AK34">
        <v>1</v>
      </c>
    </row>
    <row r="35">
      <c r="B35" t="str">
        <v>Radhitya Putranugraha</v>
      </c>
      <c r="G35">
        <v>2041</v>
      </c>
      <c r="K35">
        <v>22</v>
      </c>
      <c r="L35">
        <f>K35-M35</f>
        <v>22</v>
      </c>
      <c r="M35">
        <f>T35+Z35+AA35+AC35</f>
        <v>0</v>
      </c>
      <c r="X35">
        <v>1</v>
      </c>
      <c r="AD35">
        <f>K35-M35</f>
        <v>22</v>
      </c>
      <c r="AF35" t="str">
        <v>WFH</v>
      </c>
      <c r="AK35">
        <v>1</v>
      </c>
    </row>
    <row r="36">
      <c r="B36" t="str">
        <v>Rahma Tri Nurnindiati, S.I.Kom.</v>
      </c>
      <c r="G36">
        <v>2867</v>
      </c>
      <c r="K36">
        <v>22</v>
      </c>
      <c r="L36">
        <f>K36-M36</f>
        <v>21</v>
      </c>
      <c r="M36">
        <f>T36+Z36+AA36+AC36</f>
        <v>1</v>
      </c>
      <c r="W36">
        <v>2</v>
      </c>
      <c r="X36">
        <v>1</v>
      </c>
      <c r="AA36">
        <v>1</v>
      </c>
      <c r="AD36">
        <f>K36-M36</f>
        <v>21</v>
      </c>
      <c r="AF36" t="str">
        <v>WFH, Cuti Tahunan / Bersama</v>
      </c>
      <c r="AK36">
        <v>1</v>
      </c>
    </row>
    <row r="37">
      <c r="B37" t="str">
        <v>RANI DWI SARASWATI</v>
      </c>
      <c r="G37">
        <v>2341</v>
      </c>
      <c r="K37">
        <v>22</v>
      </c>
      <c r="L37">
        <f>K37-M37</f>
        <v>22</v>
      </c>
      <c r="M37">
        <f>T37+Z37+AA37+AC37</f>
        <v>0</v>
      </c>
      <c r="O37">
        <v>2</v>
      </c>
      <c r="W37">
        <v>9</v>
      </c>
      <c r="X37">
        <v>3</v>
      </c>
      <c r="AD37">
        <f>K37-M37</f>
        <v>22</v>
      </c>
      <c r="AF37" t="str">
        <v>WFH</v>
      </c>
      <c r="AK37">
        <v>1</v>
      </c>
    </row>
    <row r="38">
      <c r="B38" t="str">
        <v>Septin Tri Fadillah, A.</v>
      </c>
      <c r="G38">
        <v>1700</v>
      </c>
      <c r="K38">
        <v>22</v>
      </c>
      <c r="L38">
        <f>K38-M38</f>
        <v>22</v>
      </c>
      <c r="M38">
        <f>T38+Z38+AA38+AC38</f>
        <v>0</v>
      </c>
      <c r="X38">
        <v>1</v>
      </c>
      <c r="AD38">
        <f>K38-M38</f>
        <v>22</v>
      </c>
      <c r="AF38" t="str">
        <v>WFH</v>
      </c>
      <c r="AK38">
        <v>1</v>
      </c>
    </row>
    <row r="39">
      <c r="B39" t="str">
        <v>Viku Paoki, S.Sos</v>
      </c>
      <c r="G39">
        <v>2491</v>
      </c>
      <c r="K39">
        <v>22</v>
      </c>
      <c r="L39">
        <f>K39-M39</f>
        <v>22</v>
      </c>
      <c r="M39">
        <f>T39+Z39+AA39+AC39</f>
        <v>0</v>
      </c>
      <c r="X39">
        <v>1</v>
      </c>
      <c r="AD39">
        <f>K39-M39</f>
        <v>22</v>
      </c>
      <c r="AF39" t="str">
        <v>WFH</v>
      </c>
      <c r="AK39">
        <v>1</v>
      </c>
    </row>
    <row r="40">
      <c r="B40" t="str">
        <v>Yadi Apriadi, S.Kom.</v>
      </c>
      <c r="G40">
        <v>1901</v>
      </c>
      <c r="K40">
        <v>22</v>
      </c>
      <c r="L40">
        <f>K40-M40</f>
        <v>22</v>
      </c>
      <c r="M40">
        <f>T40+Z40+AA40+AC40</f>
        <v>0</v>
      </c>
      <c r="W40">
        <v>1</v>
      </c>
      <c r="X40">
        <v>1</v>
      </c>
      <c r="AD40">
        <f>K40-M40</f>
        <v>22</v>
      </c>
      <c r="AF40" t="str">
        <v>WFH</v>
      </c>
      <c r="AK40">
        <v>1</v>
      </c>
    </row>
    <row r="41">
      <c r="B41" t="str">
        <v>Yanti Herm</v>
      </c>
      <c r="G41">
        <v>2599</v>
      </c>
      <c r="K41">
        <v>22</v>
      </c>
      <c r="L41">
        <f>K41-M41</f>
        <v>22</v>
      </c>
      <c r="M41">
        <f>T41+Z41+AA41+AC41</f>
        <v>0</v>
      </c>
      <c r="AD41">
        <f>K41-M41</f>
        <v>22</v>
      </c>
      <c r="AF41" t="str">
        <v>WFH</v>
      </c>
      <c r="AK41">
        <v>1</v>
      </c>
    </row>
    <row r="42">
      <c r="B42" t="str">
        <v>Zumarie Pu</v>
      </c>
      <c r="G42">
        <v>2831</v>
      </c>
      <c r="K42">
        <v>22</v>
      </c>
      <c r="L42">
        <f>K42-M42</f>
        <v>22</v>
      </c>
      <c r="M42">
        <f>T42+Z42+AA42+AC42</f>
        <v>0</v>
      </c>
      <c r="X42">
        <v>1</v>
      </c>
      <c r="AD42">
        <f>K42-M42</f>
        <v>22</v>
      </c>
      <c r="AF42" t="str">
        <v>WFH</v>
      </c>
      <c r="AK42">
        <v>1</v>
      </c>
    </row>
    <row r="43">
      <c r="B43" t="str">
        <v>Total: 30</v>
      </c>
      <c r="K43">
        <f>SUM(K13:K42)</f>
        <v>660</v>
      </c>
      <c r="L43">
        <f>SUM(L13:L42)</f>
        <v>639</v>
      </c>
      <c r="AD43">
        <f>SUM(AD13:AD42)</f>
        <v>639</v>
      </c>
    </row>
    <row r="44">
      <c r="B44" t="str">
        <v>DOSEN</v>
      </c>
    </row>
    <row r="45">
      <c r="B45" t="str">
        <v>Aam Mariyamah, M.Hum.</v>
      </c>
      <c r="G45">
        <v>1760</v>
      </c>
      <c r="K45">
        <v>22</v>
      </c>
      <c r="L45">
        <f>K45-M45</f>
        <v>22</v>
      </c>
      <c r="M45">
        <f>T45+Z45+AA45+AC45</f>
        <v>0</v>
      </c>
      <c r="X45">
        <v>2</v>
      </c>
      <c r="AD45">
        <f>K45-M45</f>
        <v>22</v>
      </c>
      <c r="AF45" t="str">
        <v>WFH</v>
      </c>
      <c r="AK45">
        <v>1</v>
      </c>
    </row>
    <row r="46">
      <c r="B46" t="str">
        <v>Abdurrahman Rahim Thaha</v>
      </c>
      <c r="G46">
        <v>2617</v>
      </c>
      <c r="K46">
        <v>22</v>
      </c>
      <c r="L46">
        <f>K46-M46</f>
        <v>22</v>
      </c>
      <c r="M46">
        <f>T46+Z46+AA46+AC46</f>
        <v>0</v>
      </c>
      <c r="X46">
        <v>3</v>
      </c>
      <c r="AD46">
        <f>K46-M46</f>
        <v>22</v>
      </c>
      <c r="AF46" t="str">
        <v>WFH</v>
      </c>
      <c r="AK46">
        <v>1</v>
      </c>
    </row>
    <row r="47">
      <c r="B47" t="str">
        <v>ACE SRIATI</v>
      </c>
      <c r="G47">
        <v>2809</v>
      </c>
      <c r="K47">
        <v>22</v>
      </c>
      <c r="L47">
        <f>K47-M47</f>
        <v>22</v>
      </c>
      <c r="M47">
        <f>T47+Z47+AA47+AC47</f>
        <v>0</v>
      </c>
      <c r="AD47">
        <f>K47-M47</f>
        <v>22</v>
      </c>
      <c r="AF47" t="str">
        <v>WFH</v>
      </c>
      <c r="AK47">
        <v>1</v>
      </c>
    </row>
    <row r="48">
      <c r="B48" t="str">
        <v>AGUS PRIYA</v>
      </c>
      <c r="G48">
        <v>2549</v>
      </c>
      <c r="K48">
        <v>22</v>
      </c>
      <c r="L48">
        <f>K48-M48</f>
        <v>17</v>
      </c>
      <c r="M48">
        <f>T48+Z48+AA48+AC48</f>
        <v>5</v>
      </c>
      <c r="X48">
        <v>1</v>
      </c>
      <c r="AA48">
        <v>5</v>
      </c>
      <c r="AD48">
        <f>K48-M48</f>
        <v>17</v>
      </c>
      <c r="AF48" t="str">
        <v>WFH, Cuti Tahunan / Bersama</v>
      </c>
      <c r="AK48">
        <v>1</v>
      </c>
    </row>
    <row r="49">
      <c r="B49" t="str">
        <v>AGUS RIYAN</v>
      </c>
      <c r="G49">
        <v>1550</v>
      </c>
      <c r="K49">
        <v>22</v>
      </c>
      <c r="L49">
        <f>K49-M49</f>
        <v>19</v>
      </c>
      <c r="M49">
        <f>T49+Z49+AA49+AC49</f>
        <v>3</v>
      </c>
      <c r="O49">
        <v>1</v>
      </c>
      <c r="AA49">
        <v>3</v>
      </c>
      <c r="AD49">
        <f>K49-M49</f>
        <v>19</v>
      </c>
      <c r="AF49" t="str">
        <v>WFH, Cuti Tahunan / Bersama</v>
      </c>
      <c r="AK49">
        <v>1</v>
      </c>
    </row>
    <row r="50">
      <c r="B50" t="str">
        <v>Aji Fajar Suryo Antoro</v>
      </c>
      <c r="G50">
        <v>1572</v>
      </c>
      <c r="K50">
        <v>22</v>
      </c>
      <c r="L50">
        <f>K50-M50</f>
        <v>20</v>
      </c>
      <c r="M50">
        <f>T50+Z50+AA50+AC50</f>
        <v>2</v>
      </c>
      <c r="P50">
        <v>1</v>
      </c>
      <c r="AA50">
        <v>2</v>
      </c>
      <c r="AD50">
        <f>K50-M50</f>
        <v>20</v>
      </c>
      <c r="AF50" t="str">
        <v>WFH, Cuti Tahunan / Bersama</v>
      </c>
      <c r="AK50">
        <v>1</v>
      </c>
    </row>
    <row r="51">
      <c r="B51" t="str">
        <v>Amelia Yeza Pradhipta, S</v>
      </c>
      <c r="G51">
        <v>1766</v>
      </c>
      <c r="K51">
        <v>22</v>
      </c>
      <c r="L51">
        <f>K51-M51</f>
        <v>22</v>
      </c>
      <c r="M51">
        <f>T51+Z51+AA51+AC51</f>
        <v>0</v>
      </c>
      <c r="AD51">
        <f>K51-M51</f>
        <v>22</v>
      </c>
      <c r="AF51" t="str">
        <v>WFH</v>
      </c>
      <c r="AK51">
        <v>1</v>
      </c>
    </row>
    <row r="52">
      <c r="B52" t="str">
        <v>Amud Sunarya</v>
      </c>
      <c r="G52">
        <v>2569</v>
      </c>
      <c r="K52">
        <v>22</v>
      </c>
      <c r="L52">
        <f>K52-M52</f>
        <v>20</v>
      </c>
      <c r="M52">
        <f>T52+Z52+AA52+AC52</f>
        <v>2</v>
      </c>
      <c r="O52">
        <v>1</v>
      </c>
      <c r="X52">
        <v>3</v>
      </c>
      <c r="Z52">
        <v>2</v>
      </c>
      <c r="AD52">
        <f>K52-M52</f>
        <v>20</v>
      </c>
      <c r="AF52" t="str">
        <v>WFH, Izin Sakit</v>
      </c>
      <c r="AK52">
        <v>1</v>
      </c>
    </row>
    <row r="53">
      <c r="B53" t="str">
        <v>Annisa Tul Hasanah, S.E</v>
      </c>
      <c r="G53">
        <v>1702</v>
      </c>
      <c r="K53">
        <v>22</v>
      </c>
      <c r="L53">
        <f>K53-M53</f>
        <v>17</v>
      </c>
      <c r="M53">
        <f>T53+Z53+AA53+AC53</f>
        <v>5</v>
      </c>
      <c r="W53">
        <v>1</v>
      </c>
      <c r="X53">
        <v>2</v>
      </c>
      <c r="AA53">
        <v>5</v>
      </c>
      <c r="AD53">
        <f>K53-M53</f>
        <v>17</v>
      </c>
      <c r="AF53" t="str">
        <v>WFH, Cuti Tahunan / Bersama</v>
      </c>
      <c r="AK53">
        <v>1</v>
      </c>
    </row>
    <row r="54">
      <c r="B54" t="str">
        <v>Aprilia Cahyani Prabudi</v>
      </c>
      <c r="G54">
        <v>1966</v>
      </c>
      <c r="K54">
        <v>22</v>
      </c>
      <c r="L54">
        <f>K54-M54</f>
        <v>22</v>
      </c>
      <c r="M54">
        <f>T54+Z54+AA54+AC54</f>
        <v>0</v>
      </c>
      <c r="AD54">
        <f>K54-M54</f>
        <v>22</v>
      </c>
      <c r="AF54" t="str">
        <v>WFH</v>
      </c>
      <c r="AK54">
        <v>1</v>
      </c>
    </row>
    <row r="55">
      <c r="B55" t="str">
        <v>Ardik Ardianto</v>
      </c>
      <c r="G55">
        <v>1584</v>
      </c>
      <c r="K55">
        <v>22</v>
      </c>
      <c r="L55">
        <f>K55-M55</f>
        <v>22</v>
      </c>
      <c r="M55">
        <f>T55+Z55+AA55+AC55</f>
        <v>0</v>
      </c>
      <c r="X55">
        <v>1</v>
      </c>
      <c r="AD55">
        <f>K55-M55</f>
        <v>22</v>
      </c>
      <c r="AF55" t="str">
        <v>WFH</v>
      </c>
      <c r="AK55">
        <v>1</v>
      </c>
    </row>
    <row r="56">
      <c r="B56" t="str">
        <v>ARIFAH BINTAR</v>
      </c>
      <c r="G56">
        <v>1554</v>
      </c>
      <c r="K56">
        <v>22</v>
      </c>
      <c r="L56">
        <f>K56-M56</f>
        <v>17</v>
      </c>
      <c r="M56">
        <f>T56+Z56+AA56+AC56</f>
        <v>5</v>
      </c>
      <c r="X56">
        <v>2</v>
      </c>
      <c r="AA56">
        <v>5</v>
      </c>
      <c r="AD56">
        <f>K56-M56</f>
        <v>17</v>
      </c>
      <c r="AF56" t="str">
        <v>WFH, Cuti Tahunan / Bersama</v>
      </c>
      <c r="AK56">
        <v>1</v>
      </c>
    </row>
    <row r="57">
      <c r="B57" t="str">
        <v>Arina Haque</v>
      </c>
      <c r="G57">
        <v>1953</v>
      </c>
      <c r="K57">
        <v>22</v>
      </c>
      <c r="L57">
        <f>K57-M57</f>
        <v>21</v>
      </c>
      <c r="M57">
        <f>T57+Z57+AA57+AC57</f>
        <v>1</v>
      </c>
      <c r="W57">
        <v>1</v>
      </c>
      <c r="X57">
        <v>1</v>
      </c>
      <c r="AA57">
        <v>1</v>
      </c>
      <c r="AD57">
        <f>K57-M57</f>
        <v>21</v>
      </c>
      <c r="AF57" t="str">
        <v>WFH, Cuti Tahunan / Bersama</v>
      </c>
      <c r="AK57">
        <v>1</v>
      </c>
    </row>
    <row r="58">
      <c r="B58" t="str">
        <v>Bahir Mukhammad, S.H., M.H.</v>
      </c>
      <c r="G58">
        <v>2159</v>
      </c>
      <c r="K58">
        <v>22</v>
      </c>
      <c r="L58">
        <f>K58-M58</f>
        <v>20</v>
      </c>
      <c r="M58">
        <f>T58+Z58+AA58+AC58</f>
        <v>2</v>
      </c>
      <c r="X58">
        <v>1</v>
      </c>
      <c r="Z58">
        <v>2</v>
      </c>
      <c r="AD58">
        <f>K58-M58</f>
        <v>20</v>
      </c>
      <c r="AF58" t="str">
        <v>WFH, Izin Sakit</v>
      </c>
      <c r="AK58">
        <v>1</v>
      </c>
    </row>
    <row r="59">
      <c r="B59" t="str">
        <v>Bambang Agus Diana,S.So</v>
      </c>
      <c r="G59">
        <v>1892</v>
      </c>
      <c r="K59">
        <v>22</v>
      </c>
      <c r="L59">
        <f>K59-M59</f>
        <v>22</v>
      </c>
      <c r="M59">
        <f>T59+Z59+AA59+AC59</f>
        <v>0</v>
      </c>
      <c r="X59">
        <v>2</v>
      </c>
      <c r="AD59">
        <f>K59-M59</f>
        <v>22</v>
      </c>
      <c r="AF59" t="str">
        <v>WFH</v>
      </c>
      <c r="AK59">
        <v>1</v>
      </c>
    </row>
    <row r="60">
      <c r="B60" t="str">
        <v>Bintang Parashteo, M.H</v>
      </c>
      <c r="G60">
        <v>1726</v>
      </c>
      <c r="K60">
        <v>22</v>
      </c>
      <c r="L60">
        <f>K60-M60</f>
        <v>22</v>
      </c>
      <c r="M60">
        <f>T60+Z60+AA60+AC60</f>
        <v>0</v>
      </c>
      <c r="X60">
        <v>1</v>
      </c>
      <c r="AD60">
        <f>K60-M60</f>
        <v>22</v>
      </c>
      <c r="AF60" t="str">
        <v>WFH</v>
      </c>
      <c r="AK60">
        <v>1</v>
      </c>
    </row>
    <row r="61">
      <c r="B61" t="str">
        <v>DANIEL PASARIBU,S.Pd</v>
      </c>
      <c r="G61">
        <v>2247</v>
      </c>
      <c r="K61">
        <v>22</v>
      </c>
      <c r="L61">
        <f>K61-M61</f>
        <v>22</v>
      </c>
      <c r="M61">
        <f>T61+Z61+AA61+AC61</f>
        <v>0</v>
      </c>
      <c r="X61">
        <v>7</v>
      </c>
      <c r="AD61">
        <f>K61-M61</f>
        <v>22</v>
      </c>
      <c r="AK61">
        <v>1</v>
      </c>
    </row>
    <row r="62">
      <c r="B62" t="str">
        <v>DARYONO, S</v>
      </c>
      <c r="G62">
        <v>2559</v>
      </c>
      <c r="K62">
        <v>22</v>
      </c>
      <c r="L62">
        <f>K62-M62</f>
        <v>22</v>
      </c>
      <c r="M62">
        <f>T62+Z62+AA62+AC62</f>
        <v>0</v>
      </c>
      <c r="P62">
        <v>1</v>
      </c>
      <c r="W62">
        <v>2</v>
      </c>
      <c r="X62">
        <v>3</v>
      </c>
      <c r="AD62">
        <f>K62-M62</f>
        <v>22</v>
      </c>
      <c r="AF62" t="str">
        <v>WFH</v>
      </c>
      <c r="AK62">
        <v>1</v>
      </c>
    </row>
    <row r="63">
      <c r="B63" t="str">
        <v>DEDY JUNIADI,S.Kom</v>
      </c>
      <c r="G63">
        <v>2255</v>
      </c>
      <c r="K63">
        <v>22</v>
      </c>
      <c r="L63">
        <f>K63-M63</f>
        <v>22</v>
      </c>
      <c r="M63">
        <f>T63+Z63+AA63+AC63</f>
        <v>0</v>
      </c>
      <c r="X63">
        <v>2</v>
      </c>
      <c r="AD63">
        <f>K63-M63</f>
        <v>22</v>
      </c>
      <c r="AF63" t="str">
        <v>WFH</v>
      </c>
      <c r="AK63">
        <v>1</v>
      </c>
    </row>
    <row r="64">
      <c r="B64" t="str">
        <v>Deka Taufiq Riansyah, S</v>
      </c>
      <c r="G64">
        <v>2703</v>
      </c>
      <c r="K64">
        <v>22</v>
      </c>
      <c r="L64">
        <f>K64-M64</f>
        <v>22</v>
      </c>
      <c r="M64">
        <f>T64+Z64+AA64+AC64</f>
        <v>0</v>
      </c>
      <c r="X64">
        <v>1</v>
      </c>
      <c r="AD64">
        <f>K64-M64</f>
        <v>22</v>
      </c>
      <c r="AF64" t="str">
        <v>WFH</v>
      </c>
      <c r="AK64">
        <v>1</v>
      </c>
    </row>
    <row r="65">
      <c r="B65" t="str">
        <v>Destiana, S.A.B., M.A.B.</v>
      </c>
      <c r="G65">
        <v>2605</v>
      </c>
      <c r="K65">
        <v>22</v>
      </c>
      <c r="L65">
        <f>K65-M65</f>
        <v>22</v>
      </c>
      <c r="M65">
        <f>T65+Z65+AA65+AC65</f>
        <v>0</v>
      </c>
      <c r="X65">
        <v>1</v>
      </c>
      <c r="AD65">
        <f>K65-M65</f>
        <v>22</v>
      </c>
      <c r="AK65">
        <v>1</v>
      </c>
    </row>
    <row r="66">
      <c r="B66" t="str">
        <v>Dina Fadiyah</v>
      </c>
      <c r="G66">
        <v>1416</v>
      </c>
      <c r="K66">
        <v>22</v>
      </c>
      <c r="L66">
        <f>K66-M66</f>
        <v>22</v>
      </c>
      <c r="M66">
        <f>T66+Z66+AA66+AC66</f>
        <v>0</v>
      </c>
      <c r="X66">
        <v>1</v>
      </c>
      <c r="AD66">
        <f>K66-M66</f>
        <v>22</v>
      </c>
      <c r="AF66" t="str">
        <v>WFH</v>
      </c>
      <c r="AK66">
        <v>1</v>
      </c>
    </row>
    <row r="67">
      <c r="B67" t="str">
        <v>Dr. Endang Tri I.</v>
      </c>
      <c r="G67">
        <v>1951</v>
      </c>
      <c r="K67">
        <v>22</v>
      </c>
      <c r="L67">
        <f>K67-M67</f>
        <v>22</v>
      </c>
      <c r="M67">
        <f>T67+Z67+AA67+AC67</f>
        <v>0</v>
      </c>
      <c r="X67">
        <v>1</v>
      </c>
      <c r="AD67">
        <f>K67-M67</f>
        <v>22</v>
      </c>
      <c r="AF67" t="str">
        <v>WFH</v>
      </c>
      <c r="AK67">
        <v>1</v>
      </c>
    </row>
    <row r="68">
      <c r="B68" t="str">
        <v>Dr. Faizal Madya, S.IP., M.Si.</v>
      </c>
      <c r="G68">
        <v>1439</v>
      </c>
      <c r="K68">
        <v>22</v>
      </c>
      <c r="L68">
        <f>K68-M68</f>
        <v>22</v>
      </c>
      <c r="M68">
        <f>T68+Z68+AA68+AC68</f>
        <v>0</v>
      </c>
      <c r="W68">
        <v>1</v>
      </c>
      <c r="AD68">
        <f>K68-M68</f>
        <v>22</v>
      </c>
      <c r="AK68">
        <v>1</v>
      </c>
    </row>
    <row r="69">
      <c r="B69" t="str">
        <v>Dr. Isnaeni Yuliani, M.Si.</v>
      </c>
      <c r="G69">
        <v>2570</v>
      </c>
      <c r="K69">
        <v>22</v>
      </c>
      <c r="L69">
        <f>K69-M69</f>
        <v>22</v>
      </c>
      <c r="M69">
        <f>T69+Z69+AA69+AC69</f>
        <v>0</v>
      </c>
      <c r="X69">
        <v>2</v>
      </c>
      <c r="AD69">
        <f>K69-M69</f>
        <v>22</v>
      </c>
      <c r="AK69">
        <v>1</v>
      </c>
    </row>
    <row r="70">
      <c r="B70" t="str">
        <v>Dr. M. Jeffri Arlinandes Chandra, S.H., M.H.</v>
      </c>
      <c r="G70">
        <v>1662</v>
      </c>
      <c r="K70">
        <v>22</v>
      </c>
      <c r="L70">
        <f>K70-M70</f>
        <v>22</v>
      </c>
      <c r="M70">
        <f>T70+Z70+AA70+AC70</f>
        <v>0</v>
      </c>
      <c r="O70">
        <v>4</v>
      </c>
      <c r="W70">
        <v>1</v>
      </c>
      <c r="AD70">
        <f>K70-M70</f>
        <v>22</v>
      </c>
      <c r="AK70">
        <v>1</v>
      </c>
    </row>
    <row r="71">
      <c r="B71" t="str">
        <v>Dr. Muhtarom, S.E., M.M., Ak., CA</v>
      </c>
      <c r="G71">
        <v>1579</v>
      </c>
      <c r="K71">
        <v>22</v>
      </c>
      <c r="L71">
        <f>K71-M71</f>
        <v>22</v>
      </c>
      <c r="M71">
        <f>T71+Z71+AA71+AC71</f>
        <v>0</v>
      </c>
      <c r="X71">
        <v>2</v>
      </c>
      <c r="AD71">
        <f>K71-M71</f>
        <v>22</v>
      </c>
      <c r="AK71">
        <v>1</v>
      </c>
    </row>
    <row r="72">
      <c r="B72" t="str">
        <v>Dr. Sri Sediyaningsih, M.Si.</v>
      </c>
      <c r="G72">
        <v>1586</v>
      </c>
      <c r="K72">
        <v>22</v>
      </c>
      <c r="L72">
        <f>K72-M72</f>
        <v>21</v>
      </c>
      <c r="M72">
        <f>T72+Z72+AA72+AC72</f>
        <v>1</v>
      </c>
      <c r="O72">
        <v>1</v>
      </c>
      <c r="P72">
        <v>1</v>
      </c>
      <c r="AA72">
        <v>1</v>
      </c>
      <c r="AD72">
        <f>K72-M72</f>
        <v>21</v>
      </c>
      <c r="AF72" t="str">
        <v>Cuti Tahunan / Bersama, WFH</v>
      </c>
      <c r="AK72">
        <v>1</v>
      </c>
    </row>
    <row r="73">
      <c r="B73" t="str">
        <v>Drs. Hasanuddin</v>
      </c>
      <c r="G73">
        <v>2851</v>
      </c>
      <c r="K73">
        <v>22</v>
      </c>
      <c r="L73">
        <f>K73-M73</f>
        <v>22</v>
      </c>
      <c r="M73">
        <f>T73+Z73+AA73+AC73</f>
        <v>0</v>
      </c>
      <c r="O73">
        <v>2</v>
      </c>
      <c r="X73">
        <v>2</v>
      </c>
      <c r="AD73">
        <f>K73-M73</f>
        <v>22</v>
      </c>
      <c r="AF73" t="str">
        <v>WFH</v>
      </c>
      <c r="AK73">
        <v>1</v>
      </c>
    </row>
    <row r="74">
      <c r="B74" t="str">
        <v>Dwi Rahmawati</v>
      </c>
      <c r="G74">
        <v>1618</v>
      </c>
      <c r="K74">
        <v>22</v>
      </c>
      <c r="L74">
        <f>K74-M74</f>
        <v>0</v>
      </c>
      <c r="M74">
        <f>T74+Z74+AA74+AC74</f>
        <v>22</v>
      </c>
      <c r="AA74">
        <v>22</v>
      </c>
      <c r="AD74">
        <f>K74-M74</f>
        <v>0</v>
      </c>
      <c r="AF74" t="str">
        <v>Cuti Tahunan / Bersama</v>
      </c>
      <c r="AK74">
        <v>1</v>
      </c>
    </row>
    <row r="75">
      <c r="B75" t="str">
        <v>Eha Saleha</v>
      </c>
      <c r="G75">
        <v>2633</v>
      </c>
      <c r="K75">
        <v>22</v>
      </c>
      <c r="L75">
        <f>K75-M75</f>
        <v>22</v>
      </c>
      <c r="M75">
        <f>T75+Z75+AA75+AC75</f>
        <v>0</v>
      </c>
      <c r="AD75">
        <f>K75-M75</f>
        <v>22</v>
      </c>
      <c r="AF75" t="str">
        <v>WFH</v>
      </c>
      <c r="AK75">
        <v>1</v>
      </c>
    </row>
    <row r="76">
      <c r="B76" t="str">
        <v>Eka Nurjanah, S.H.</v>
      </c>
      <c r="G76">
        <v>1704</v>
      </c>
      <c r="K76">
        <v>22</v>
      </c>
      <c r="L76">
        <f>K76-M76</f>
        <v>21</v>
      </c>
      <c r="M76">
        <f>T76+Z76+AA76+AC76</f>
        <v>1</v>
      </c>
      <c r="X76">
        <v>2</v>
      </c>
      <c r="AA76">
        <v>1</v>
      </c>
      <c r="AD76">
        <f>K76-M76</f>
        <v>21</v>
      </c>
      <c r="AF76" t="str">
        <v>WFH, Cuti Tahunan / Bersama</v>
      </c>
      <c r="AK76">
        <v>1</v>
      </c>
    </row>
    <row r="77">
      <c r="B77" t="str">
        <v>Enggar Mulyajati</v>
      </c>
      <c r="G77">
        <v>2583</v>
      </c>
      <c r="K77">
        <v>22</v>
      </c>
      <c r="L77">
        <f>K77-M77</f>
        <v>22</v>
      </c>
      <c r="M77">
        <f>T77+Z77+AA77+AC77</f>
        <v>0</v>
      </c>
      <c r="X77">
        <v>2</v>
      </c>
      <c r="AD77">
        <f>K77-M77</f>
        <v>22</v>
      </c>
      <c r="AF77" t="str">
        <v>WFH</v>
      </c>
      <c r="AK77">
        <v>1</v>
      </c>
    </row>
    <row r="78">
      <c r="B78" t="str">
        <v>Evi Zakiyah, S.IIP., M.Hum.</v>
      </c>
      <c r="G78">
        <v>2793</v>
      </c>
      <c r="K78">
        <v>22</v>
      </c>
      <c r="L78">
        <f>K78-M78</f>
        <v>22</v>
      </c>
      <c r="M78">
        <f>T78+Z78+AA78+AC78</f>
        <v>0</v>
      </c>
      <c r="W78">
        <v>2</v>
      </c>
      <c r="X78">
        <v>2</v>
      </c>
      <c r="AD78">
        <f>K78-M78</f>
        <v>22</v>
      </c>
      <c r="AK78">
        <v>1</v>
      </c>
    </row>
    <row r="79">
      <c r="B79" t="str">
        <v>Fadri Ari Sandi, S.A.N.,</v>
      </c>
      <c r="G79">
        <v>1794</v>
      </c>
      <c r="K79">
        <v>22</v>
      </c>
      <c r="L79">
        <f>K79-M79</f>
        <v>20</v>
      </c>
      <c r="M79">
        <f>T79+Z79+AA79+AC79</f>
        <v>2</v>
      </c>
      <c r="W79">
        <v>1</v>
      </c>
      <c r="X79">
        <v>1</v>
      </c>
      <c r="Z79">
        <v>2</v>
      </c>
      <c r="AD79">
        <f>K79-M79</f>
        <v>20</v>
      </c>
      <c r="AF79" t="str">
        <v>Izin Sakit, WFH</v>
      </c>
      <c r="AK79">
        <v>1</v>
      </c>
    </row>
    <row r="80">
      <c r="B80" t="str">
        <v>Firya Syafira</v>
      </c>
      <c r="G80">
        <v>2046</v>
      </c>
      <c r="K80">
        <v>22</v>
      </c>
      <c r="L80">
        <f>K80-M80</f>
        <v>22</v>
      </c>
      <c r="M80">
        <f>T80+Z80+AA80+AC80</f>
        <v>0</v>
      </c>
      <c r="X80">
        <v>1</v>
      </c>
      <c r="AD80">
        <f>K80-M80</f>
        <v>22</v>
      </c>
      <c r="AF80" t="str">
        <v>WFH</v>
      </c>
      <c r="AK80">
        <v>1</v>
      </c>
    </row>
    <row r="81">
      <c r="B81" t="str">
        <v>Grace Prima Apriani Siho</v>
      </c>
      <c r="G81">
        <v>1802</v>
      </c>
      <c r="K81">
        <v>22</v>
      </c>
      <c r="L81">
        <f>K81-M81</f>
        <v>21</v>
      </c>
      <c r="M81">
        <f>T81+Z81+AA81+AC81</f>
        <v>1</v>
      </c>
      <c r="X81">
        <v>4</v>
      </c>
      <c r="AA81">
        <v>1</v>
      </c>
      <c r="AD81">
        <f>K81-M81</f>
        <v>21</v>
      </c>
      <c r="AF81" t="str">
        <v>WFH, Cuti Tahunan / Bersama</v>
      </c>
      <c r="AK81">
        <v>1</v>
      </c>
    </row>
    <row r="82">
      <c r="B82" t="str">
        <v>Hanif Hardianto</v>
      </c>
      <c r="G82">
        <v>2611</v>
      </c>
      <c r="K82">
        <v>22</v>
      </c>
      <c r="L82">
        <f>K82-M82</f>
        <v>21</v>
      </c>
      <c r="M82">
        <f>T82+Z82+AA82+AC82</f>
        <v>1</v>
      </c>
      <c r="X82">
        <v>1</v>
      </c>
      <c r="AA82">
        <v>1</v>
      </c>
      <c r="AD82">
        <f>K82-M82</f>
        <v>21</v>
      </c>
      <c r="AF82" t="str">
        <v>Cuti Tahunan / Bersama, WFH</v>
      </c>
      <c r="AK82">
        <v>1</v>
      </c>
    </row>
    <row r="83">
      <c r="B83" t="str">
        <v>Helni Sadid Parassa, S.I</v>
      </c>
      <c r="G83">
        <v>1804</v>
      </c>
      <c r="K83">
        <v>22</v>
      </c>
      <c r="L83">
        <f>K83-M83</f>
        <v>20</v>
      </c>
      <c r="M83">
        <f>T83+Z83+AA83+AC83</f>
        <v>2</v>
      </c>
      <c r="X83">
        <v>2</v>
      </c>
      <c r="Z83">
        <v>1</v>
      </c>
      <c r="AA83">
        <v>1</v>
      </c>
      <c r="AD83">
        <f>K83-M83</f>
        <v>20</v>
      </c>
      <c r="AF83" t="str">
        <v>Izin Sakit, WFH, Cuti Tahunan / Bersama</v>
      </c>
      <c r="AK83">
        <v>1</v>
      </c>
    </row>
    <row r="84">
      <c r="B84" t="str">
        <v>Husna Putri Pertiwi</v>
      </c>
      <c r="G84">
        <v>1606</v>
      </c>
      <c r="K84">
        <v>22</v>
      </c>
      <c r="L84">
        <f>K84-M84</f>
        <v>19</v>
      </c>
      <c r="M84">
        <f>T84+Z84+AA84+AC84</f>
        <v>3</v>
      </c>
      <c r="W84">
        <v>1</v>
      </c>
      <c r="X84">
        <v>4</v>
      </c>
      <c r="Z84">
        <v>3</v>
      </c>
      <c r="AD84">
        <f>K84-M84</f>
        <v>19</v>
      </c>
      <c r="AF84" t="str">
        <v>WFH, Izin Sakit</v>
      </c>
      <c r="AK84">
        <v>1</v>
      </c>
    </row>
    <row r="85">
      <c r="B85" t="str">
        <v>Husnaeni Fauziah Amani,</v>
      </c>
      <c r="G85">
        <v>1807</v>
      </c>
      <c r="K85">
        <v>22</v>
      </c>
      <c r="L85">
        <f>K85-M85</f>
        <v>22</v>
      </c>
      <c r="M85">
        <f>T85+Z85+AA85+AC85</f>
        <v>0</v>
      </c>
      <c r="O85">
        <v>4</v>
      </c>
      <c r="X85">
        <v>1</v>
      </c>
      <c r="AD85">
        <f>K85-M85</f>
        <v>22</v>
      </c>
      <c r="AF85" t="str">
        <v>WFH</v>
      </c>
      <c r="AK85">
        <v>1</v>
      </c>
    </row>
    <row r="86">
      <c r="B86" t="str">
        <v>Irla Yulia</v>
      </c>
      <c r="G86">
        <v>1594</v>
      </c>
      <c r="K86">
        <v>22</v>
      </c>
      <c r="L86">
        <f>K86-M86</f>
        <v>22</v>
      </c>
      <c r="M86">
        <f>T86+Z86+AA86+AC86</f>
        <v>0</v>
      </c>
      <c r="O86">
        <v>1</v>
      </c>
      <c r="X86">
        <v>1</v>
      </c>
      <c r="AD86">
        <f>K86-M86</f>
        <v>22</v>
      </c>
      <c r="AF86" t="str">
        <v>WFH</v>
      </c>
      <c r="AK86">
        <v>1</v>
      </c>
    </row>
    <row r="87">
      <c r="B87" t="str">
        <v>Irma Mega Putri</v>
      </c>
      <c r="G87">
        <v>1957</v>
      </c>
      <c r="K87">
        <v>22</v>
      </c>
      <c r="L87">
        <f>K87-M87</f>
        <v>22</v>
      </c>
      <c r="M87">
        <f>T87+Z87+AA87+AC87</f>
        <v>0</v>
      </c>
      <c r="X87">
        <v>1</v>
      </c>
      <c r="AD87">
        <f>K87-M87</f>
        <v>22</v>
      </c>
      <c r="AF87" t="str">
        <v>WFH</v>
      </c>
      <c r="AK87">
        <v>1</v>
      </c>
    </row>
    <row r="88">
      <c r="B88" t="str">
        <v>Irva Sectio Caesaria Sa</v>
      </c>
      <c r="G88">
        <v>1963</v>
      </c>
      <c r="K88">
        <v>22</v>
      </c>
      <c r="L88">
        <f>K88-M88</f>
        <v>22</v>
      </c>
      <c r="M88">
        <f>T88+Z88+AA88+AC88</f>
        <v>0</v>
      </c>
      <c r="W88">
        <v>1</v>
      </c>
      <c r="X88">
        <v>2</v>
      </c>
      <c r="AD88">
        <f>K88-M88</f>
        <v>22</v>
      </c>
      <c r="AF88" t="str">
        <v>WFH</v>
      </c>
      <c r="AK88">
        <v>1</v>
      </c>
    </row>
    <row r="89">
      <c r="B89" t="str">
        <v>Ishmah Ariiqoh</v>
      </c>
      <c r="G89">
        <v>2040</v>
      </c>
      <c r="K89">
        <v>22</v>
      </c>
      <c r="L89">
        <f>K89-M89</f>
        <v>22</v>
      </c>
      <c r="M89">
        <f>T89+Z89+AA89+AC89</f>
        <v>0</v>
      </c>
      <c r="X89">
        <v>1</v>
      </c>
      <c r="AD89">
        <f>K89-M89</f>
        <v>22</v>
      </c>
      <c r="AF89" t="str">
        <v>WFH</v>
      </c>
      <c r="AK89">
        <v>1</v>
      </c>
    </row>
    <row r="90">
      <c r="B90" t="str">
        <v>ISMA DWI FIANI</v>
      </c>
      <c r="G90">
        <v>2253</v>
      </c>
      <c r="K90">
        <v>22</v>
      </c>
      <c r="L90">
        <f>K90-M90</f>
        <v>22</v>
      </c>
      <c r="M90">
        <f>T90+Z90+AA90+AC90</f>
        <v>0</v>
      </c>
      <c r="O90">
        <v>1</v>
      </c>
      <c r="AD90">
        <f>K90-M90</f>
        <v>22</v>
      </c>
      <c r="AF90" t="str">
        <v>WFH</v>
      </c>
      <c r="AK90">
        <v>1</v>
      </c>
    </row>
    <row r="91">
      <c r="B91" t="str">
        <v>Laras Ayu Andini</v>
      </c>
      <c r="G91">
        <v>1600</v>
      </c>
      <c r="K91">
        <v>22</v>
      </c>
      <c r="L91">
        <f>K91-M91</f>
        <v>21</v>
      </c>
      <c r="M91">
        <f>T91+Z91+AA91+AC91</f>
        <v>1</v>
      </c>
      <c r="X91">
        <v>1</v>
      </c>
      <c r="AA91">
        <v>1</v>
      </c>
      <c r="AD91">
        <f>K91-M91</f>
        <v>21</v>
      </c>
      <c r="AF91" t="str">
        <v>WFH, Cuti Tahunan / Bersama</v>
      </c>
      <c r="AK91">
        <v>1</v>
      </c>
    </row>
    <row r="92">
      <c r="B92" t="str">
        <v>M. Sihabudin Al Qu</v>
      </c>
      <c r="G92">
        <v>2044</v>
      </c>
      <c r="K92">
        <v>22</v>
      </c>
      <c r="L92">
        <f>K92-M92</f>
        <v>22</v>
      </c>
      <c r="M92">
        <f>T92+Z92+AA92+AC92</f>
        <v>0</v>
      </c>
      <c r="X92">
        <v>1</v>
      </c>
      <c r="AD92">
        <f>K92-M92</f>
        <v>22</v>
      </c>
      <c r="AF92" t="str">
        <v>WFH</v>
      </c>
      <c r="AK92">
        <v>1</v>
      </c>
    </row>
    <row r="93">
      <c r="B93" t="str">
        <v>M. Yahya Fadillah</v>
      </c>
      <c r="G93">
        <v>2043</v>
      </c>
      <c r="K93">
        <v>22</v>
      </c>
      <c r="L93">
        <f>K93-M93</f>
        <v>22</v>
      </c>
      <c r="M93">
        <f>T93+Z93+AA93+AC93</f>
        <v>0</v>
      </c>
      <c r="W93">
        <v>1</v>
      </c>
      <c r="X93">
        <v>1</v>
      </c>
      <c r="AD93">
        <f>K93-M93</f>
        <v>22</v>
      </c>
      <c r="AF93" t="str">
        <v>WFH</v>
      </c>
      <c r="AK93">
        <v>1</v>
      </c>
    </row>
    <row r="94">
      <c r="B94" t="str">
        <v>MADIHA DZAKIYYAH C.</v>
      </c>
      <c r="G94">
        <v>1252</v>
      </c>
      <c r="K94">
        <v>22</v>
      </c>
      <c r="L94">
        <f>K94-M94</f>
        <v>22</v>
      </c>
      <c r="M94">
        <f>T94+Z94+AA94+AC94</f>
        <v>0</v>
      </c>
      <c r="X94">
        <v>1</v>
      </c>
      <c r="AD94">
        <f>K94-M94</f>
        <v>22</v>
      </c>
      <c r="AF94" t="str">
        <v>WFH</v>
      </c>
      <c r="AK94">
        <v>1</v>
      </c>
    </row>
    <row r="95">
      <c r="B95" t="str">
        <v>Majidah</v>
      </c>
      <c r="G95">
        <v>1928</v>
      </c>
      <c r="K95">
        <v>22</v>
      </c>
      <c r="L95">
        <f>K95-M95</f>
        <v>22</v>
      </c>
      <c r="M95">
        <f>T95+Z95+AA95+AC95</f>
        <v>0</v>
      </c>
      <c r="W95">
        <v>1</v>
      </c>
      <c r="X95">
        <v>3</v>
      </c>
      <c r="AD95">
        <f>K95-M95</f>
        <v>22</v>
      </c>
      <c r="AK95">
        <v>1</v>
      </c>
    </row>
    <row r="96">
      <c r="B96" t="str">
        <v>Meliza</v>
      </c>
      <c r="G96">
        <v>1610</v>
      </c>
      <c r="K96">
        <v>22</v>
      </c>
      <c r="L96">
        <f>K96-M96</f>
        <v>15</v>
      </c>
      <c r="M96">
        <f>T96+Z96+AA96+AC96</f>
        <v>7</v>
      </c>
      <c r="X96">
        <v>1</v>
      </c>
      <c r="Z96">
        <v>2</v>
      </c>
      <c r="AA96">
        <v>5</v>
      </c>
      <c r="AD96">
        <f>K96-M96</f>
        <v>15</v>
      </c>
      <c r="AF96" t="str">
        <v>WFH, Izin Sakit, Cuti Tahunan / Bersama</v>
      </c>
      <c r="AK96">
        <v>1</v>
      </c>
    </row>
    <row r="97">
      <c r="B97" t="str">
        <v>MILWAN, S.</v>
      </c>
      <c r="G97">
        <v>1806</v>
      </c>
      <c r="K97">
        <v>22</v>
      </c>
      <c r="L97">
        <f>K97-M97</f>
        <v>22</v>
      </c>
      <c r="M97">
        <f>T97+Z97+AA97+AC97</f>
        <v>0</v>
      </c>
      <c r="AD97">
        <f>K97-M97</f>
        <v>22</v>
      </c>
      <c r="AF97" t="str">
        <v>WFH</v>
      </c>
      <c r="AK97">
        <v>1</v>
      </c>
    </row>
    <row r="98">
      <c r="B98" t="str">
        <v>NILA KUSUM</v>
      </c>
      <c r="G98">
        <v>2577</v>
      </c>
      <c r="K98">
        <v>22</v>
      </c>
      <c r="L98">
        <f>K98-M98</f>
        <v>22</v>
      </c>
      <c r="M98">
        <f>T98+Z98+AA98+AC98</f>
        <v>0</v>
      </c>
      <c r="X98">
        <v>2</v>
      </c>
      <c r="AD98">
        <f>K98-M98</f>
        <v>22</v>
      </c>
      <c r="AF98" t="str">
        <v>WFH</v>
      </c>
      <c r="AK98">
        <v>1</v>
      </c>
    </row>
    <row r="99">
      <c r="B99" t="str">
        <v>Nur Ambia Arma</v>
      </c>
      <c r="G99">
        <v>2571</v>
      </c>
      <c r="K99">
        <v>22</v>
      </c>
      <c r="L99">
        <f>K99-M99</f>
        <v>19</v>
      </c>
      <c r="M99">
        <f>T99+Z99+AA99+AC99</f>
        <v>3</v>
      </c>
      <c r="W99">
        <v>1</v>
      </c>
      <c r="X99">
        <v>1</v>
      </c>
      <c r="AA99">
        <v>3</v>
      </c>
      <c r="AD99">
        <f>K99-M99</f>
        <v>19</v>
      </c>
      <c r="AF99" t="str">
        <v>Cuti Tahunan / Bersama, WFH</v>
      </c>
      <c r="AK99">
        <v>1</v>
      </c>
    </row>
    <row r="100">
      <c r="B100" t="str">
        <v>NUR HAYATI, S.Pd. M.A</v>
      </c>
      <c r="G100">
        <v>1250</v>
      </c>
      <c r="K100">
        <v>22</v>
      </c>
      <c r="L100">
        <f>K100-M100</f>
        <v>22</v>
      </c>
      <c r="M100">
        <f>T100+Z100+AA100+AC100</f>
        <v>0</v>
      </c>
      <c r="X100">
        <v>2</v>
      </c>
      <c r="AD100">
        <f>K100-M100</f>
        <v>22</v>
      </c>
      <c r="AF100" t="str">
        <v>WFH</v>
      </c>
      <c r="AK100">
        <v>1</v>
      </c>
    </row>
    <row r="101">
      <c r="B101" t="str">
        <v>Nurkhalila Fajrini</v>
      </c>
      <c r="G101">
        <v>1596</v>
      </c>
      <c r="K101">
        <v>22</v>
      </c>
      <c r="L101">
        <f>K101-M101</f>
        <v>22</v>
      </c>
      <c r="M101">
        <f>T101+Z101+AA101+AC101</f>
        <v>0</v>
      </c>
      <c r="O101">
        <v>1</v>
      </c>
      <c r="W101">
        <v>2</v>
      </c>
      <c r="X101">
        <v>1</v>
      </c>
      <c r="AD101">
        <f>K101-M101</f>
        <v>22</v>
      </c>
      <c r="AF101" t="str">
        <v>WFH</v>
      </c>
      <c r="AK101">
        <v>1</v>
      </c>
    </row>
    <row r="102">
      <c r="B102" t="str">
        <v>PARWITANIN</v>
      </c>
      <c r="G102">
        <v>1578</v>
      </c>
      <c r="K102">
        <v>22</v>
      </c>
      <c r="L102">
        <f>K102-M102</f>
        <v>21</v>
      </c>
      <c r="M102">
        <f>T102+Z102+AA102+AC102</f>
        <v>1</v>
      </c>
      <c r="X102">
        <v>1</v>
      </c>
      <c r="AA102">
        <v>1</v>
      </c>
      <c r="AD102">
        <f>K102-M102</f>
        <v>21</v>
      </c>
      <c r="AF102" t="str">
        <v>Cuti Tahunan / Bersama, WFH</v>
      </c>
      <c r="AK102">
        <v>1</v>
      </c>
    </row>
    <row r="103">
      <c r="B103" t="str">
        <v>Pratiwi Anindita Adji,</v>
      </c>
      <c r="G103">
        <v>2873</v>
      </c>
      <c r="K103">
        <v>22</v>
      </c>
      <c r="L103">
        <f>K103-M103</f>
        <v>20</v>
      </c>
      <c r="M103">
        <f>T103+Z103+AA103+AC103</f>
        <v>2</v>
      </c>
      <c r="X103">
        <v>1</v>
      </c>
      <c r="Z103">
        <v>2</v>
      </c>
      <c r="AD103">
        <f>K103-M103</f>
        <v>20</v>
      </c>
      <c r="AF103" t="str">
        <v>WFH, Izin Sakit</v>
      </c>
      <c r="AK103">
        <v>1</v>
      </c>
    </row>
    <row r="104">
      <c r="B104" t="str">
        <v>Puryanto</v>
      </c>
      <c r="G104">
        <v>2033</v>
      </c>
      <c r="K104">
        <v>22</v>
      </c>
      <c r="L104">
        <f>K104-M104</f>
        <v>22</v>
      </c>
      <c r="M104">
        <f>T104+Z104+AA104+AC104</f>
        <v>0</v>
      </c>
      <c r="X104">
        <v>1</v>
      </c>
      <c r="AD104">
        <f>K104-M104</f>
        <v>22</v>
      </c>
      <c r="AF104" t="str">
        <v>WFH</v>
      </c>
      <c r="AK104">
        <v>1</v>
      </c>
    </row>
    <row r="105">
      <c r="B105" t="str">
        <v>RACHMAWATI WINDYANINGRU</v>
      </c>
      <c r="G105">
        <v>1298</v>
      </c>
      <c r="K105">
        <v>22</v>
      </c>
      <c r="L105">
        <f>K105-M105</f>
        <v>22</v>
      </c>
      <c r="M105">
        <f>T105+Z105+AA105+AC105</f>
        <v>0</v>
      </c>
      <c r="O105">
        <v>1</v>
      </c>
      <c r="X105">
        <v>2</v>
      </c>
      <c r="AD105">
        <f>K105-M105</f>
        <v>22</v>
      </c>
      <c r="AF105" t="str">
        <v>WFH</v>
      </c>
      <c r="AK105">
        <v>1</v>
      </c>
    </row>
    <row r="106">
      <c r="B106" t="str">
        <v>Rafika Afriyanti, S.Sos.</v>
      </c>
      <c r="G106">
        <v>1846</v>
      </c>
      <c r="K106">
        <v>22</v>
      </c>
      <c r="L106">
        <f>K106-M106</f>
        <v>22</v>
      </c>
      <c r="M106">
        <f>T106+Z106+AA106+AC106</f>
        <v>0</v>
      </c>
      <c r="X106">
        <v>1</v>
      </c>
      <c r="AD106">
        <f>K106-M106</f>
        <v>22</v>
      </c>
      <c r="AF106" t="str">
        <v>WFH</v>
      </c>
      <c r="AK106">
        <v>1</v>
      </c>
    </row>
    <row r="107">
      <c r="B107" t="str">
        <v>Rahadian Kamandaru</v>
      </c>
      <c r="G107">
        <v>1950</v>
      </c>
      <c r="K107">
        <v>22</v>
      </c>
      <c r="L107">
        <f>K107-M107</f>
        <v>22</v>
      </c>
      <c r="M107">
        <f>T107+Z107+AA107+AC107</f>
        <v>0</v>
      </c>
      <c r="W107">
        <v>2</v>
      </c>
      <c r="AD107">
        <f>K107-M107</f>
        <v>22</v>
      </c>
      <c r="AF107" t="str">
        <v>WFH</v>
      </c>
      <c r="AK107">
        <v>1</v>
      </c>
    </row>
    <row r="108">
      <c r="B108" t="str">
        <v>Raihan Rizky Andana</v>
      </c>
      <c r="G108">
        <v>2042</v>
      </c>
      <c r="K108">
        <v>22</v>
      </c>
      <c r="L108">
        <f>K108-M108</f>
        <v>22</v>
      </c>
      <c r="M108">
        <f>T108+Z108+AA108+AC108</f>
        <v>0</v>
      </c>
      <c r="X108">
        <v>2</v>
      </c>
      <c r="AD108">
        <f>K108-M108</f>
        <v>22</v>
      </c>
      <c r="AF108" t="str">
        <v>WFH</v>
      </c>
      <c r="AK108">
        <v>1</v>
      </c>
    </row>
    <row r="109">
      <c r="B109" t="str">
        <v>Rezki Aguswidya Utami, S</v>
      </c>
      <c r="G109">
        <v>1848</v>
      </c>
      <c r="K109">
        <v>22</v>
      </c>
      <c r="L109">
        <f>K109-M109</f>
        <v>20</v>
      </c>
      <c r="M109">
        <f>T109+Z109+AA109+AC109</f>
        <v>2</v>
      </c>
      <c r="X109">
        <v>5</v>
      </c>
      <c r="Z109">
        <v>1</v>
      </c>
      <c r="AA109">
        <v>1</v>
      </c>
      <c r="AD109">
        <f>K109-M109</f>
        <v>20</v>
      </c>
      <c r="AF109" t="str">
        <v>WFH, Cuti Tahunan / Bersama, Izin Sakit</v>
      </c>
      <c r="AK109">
        <v>1</v>
      </c>
    </row>
    <row r="110">
      <c r="B110" t="str">
        <v>Rivaldy N Muhammad</v>
      </c>
      <c r="G110">
        <v>1900</v>
      </c>
      <c r="K110">
        <v>22</v>
      </c>
      <c r="L110">
        <f>K110-M110</f>
        <v>22</v>
      </c>
      <c r="M110">
        <f>T110+Z110+AA110+AC110</f>
        <v>0</v>
      </c>
      <c r="X110">
        <v>2</v>
      </c>
      <c r="AD110">
        <f>K110-M110</f>
        <v>22</v>
      </c>
      <c r="AK110">
        <v>1</v>
      </c>
    </row>
    <row r="111">
      <c r="B111" t="str">
        <v>Roman Hadi Saputro, M.I</v>
      </c>
      <c r="G111">
        <v>1883</v>
      </c>
      <c r="K111">
        <v>22</v>
      </c>
      <c r="L111">
        <f>K111-M111</f>
        <v>22</v>
      </c>
      <c r="M111">
        <f>T111+Z111+AA111+AC111</f>
        <v>0</v>
      </c>
      <c r="AD111">
        <f>K111-M111</f>
        <v>22</v>
      </c>
      <c r="AK111">
        <v>1</v>
      </c>
    </row>
    <row r="112">
      <c r="B112" t="str">
        <v>Rosiana Nurwa Indah, S.H</v>
      </c>
      <c r="G112">
        <v>1857</v>
      </c>
      <c r="K112">
        <v>22</v>
      </c>
      <c r="L112">
        <f>K112-M112</f>
        <v>22</v>
      </c>
      <c r="M112">
        <f>T112+Z112+AA112+AC112</f>
        <v>0</v>
      </c>
      <c r="X112">
        <v>1</v>
      </c>
      <c r="AD112">
        <f>K112-M112</f>
        <v>22</v>
      </c>
      <c r="AF112" t="str">
        <v>WFH</v>
      </c>
      <c r="AK112">
        <v>1</v>
      </c>
    </row>
    <row r="113">
      <c r="B113" t="str">
        <v>Sapto Setyo Nugroho</v>
      </c>
      <c r="G113">
        <v>2415</v>
      </c>
      <c r="K113">
        <v>22</v>
      </c>
      <c r="L113">
        <f>K113-M113</f>
        <v>21</v>
      </c>
      <c r="M113">
        <f>T113+Z113+AA113+AC113</f>
        <v>1</v>
      </c>
      <c r="X113">
        <v>1</v>
      </c>
      <c r="AA113">
        <v>1</v>
      </c>
      <c r="AD113">
        <f>K113-M113</f>
        <v>21</v>
      </c>
      <c r="AF113" t="str">
        <v>WFH, Cuti Tahunan / Bersama</v>
      </c>
      <c r="AK113">
        <v>1</v>
      </c>
    </row>
    <row r="114">
      <c r="B114" t="str">
        <v>Sarah Anistia, S.T., M.A</v>
      </c>
      <c r="G114">
        <v>1861</v>
      </c>
      <c r="K114">
        <v>22</v>
      </c>
      <c r="L114">
        <f>K114-M114</f>
        <v>20</v>
      </c>
      <c r="M114">
        <f>T114+Z114+AA114+AC114</f>
        <v>2</v>
      </c>
      <c r="W114">
        <v>2</v>
      </c>
      <c r="X114">
        <v>2</v>
      </c>
      <c r="Z114">
        <v>1</v>
      </c>
      <c r="AA114">
        <v>1</v>
      </c>
      <c r="AD114">
        <f>K114-M114</f>
        <v>20</v>
      </c>
      <c r="AF114" t="str">
        <v>WFH, Izin Sakit, Cuti Tahunan / Bersama</v>
      </c>
      <c r="AK114">
        <v>1</v>
      </c>
    </row>
    <row r="115">
      <c r="B115" t="str">
        <v>SARAH FADILLA</v>
      </c>
      <c r="G115">
        <v>1292</v>
      </c>
      <c r="K115">
        <v>22</v>
      </c>
      <c r="L115">
        <f>K115-M115</f>
        <v>17</v>
      </c>
      <c r="M115">
        <f>T115+Z115+AA115+AC115</f>
        <v>5</v>
      </c>
      <c r="X115">
        <v>1</v>
      </c>
      <c r="Z115">
        <v>2</v>
      </c>
      <c r="AA115">
        <v>3</v>
      </c>
      <c r="AD115">
        <f>K115-M115</f>
        <v>17</v>
      </c>
      <c r="AF115" t="str">
        <v>Cuti Tahunan / Bersama, WFH, Izin Sakit</v>
      </c>
      <c r="AK115">
        <v>1</v>
      </c>
    </row>
    <row r="116">
      <c r="B116" t="str">
        <v>Sekartaji Anisa Putri, M</v>
      </c>
      <c r="G116">
        <v>1866</v>
      </c>
      <c r="K116">
        <v>22</v>
      </c>
      <c r="L116">
        <f>K116-M116</f>
        <v>16</v>
      </c>
      <c r="M116">
        <f>T116+Z116+AA116+AC116</f>
        <v>6</v>
      </c>
      <c r="Z116">
        <v>6</v>
      </c>
      <c r="AD116">
        <f>K116-M116</f>
        <v>16</v>
      </c>
      <c r="AF116" t="str">
        <v>Izin Sakit, WFH</v>
      </c>
      <c r="AK116">
        <v>1</v>
      </c>
    </row>
    <row r="117">
      <c r="B117" t="str">
        <v>Seno Wibowo Gumbira</v>
      </c>
      <c r="G117">
        <v>2877</v>
      </c>
      <c r="K117">
        <v>22</v>
      </c>
      <c r="L117">
        <f>K117-M117</f>
        <v>16</v>
      </c>
      <c r="M117">
        <f>T117+Z117+AA117+AC117</f>
        <v>6</v>
      </c>
      <c r="O117">
        <v>1</v>
      </c>
      <c r="W117">
        <v>2</v>
      </c>
      <c r="X117">
        <v>2</v>
      </c>
      <c r="Z117">
        <v>6</v>
      </c>
      <c r="AD117">
        <f>K117-M117</f>
        <v>16</v>
      </c>
      <c r="AF117" t="str">
        <v>Izin Sakit, WFH</v>
      </c>
      <c r="AK117">
        <v>1</v>
      </c>
    </row>
    <row r="118">
      <c r="B118" t="str">
        <v>Sri Pujiati</v>
      </c>
      <c r="G118">
        <v>2593</v>
      </c>
      <c r="K118">
        <v>22</v>
      </c>
      <c r="L118">
        <f>K118-M118</f>
        <v>21</v>
      </c>
      <c r="M118">
        <f>T118+Z118+AA118+AC118</f>
        <v>1</v>
      </c>
      <c r="X118">
        <v>1</v>
      </c>
      <c r="AA118">
        <v>1</v>
      </c>
      <c r="AD118">
        <f>K118-M118</f>
        <v>21</v>
      </c>
      <c r="AF118" t="str">
        <v>WFH, Cuti Tahunan / Bersama</v>
      </c>
      <c r="AK118">
        <v>1</v>
      </c>
    </row>
    <row r="119">
      <c r="B119" t="str">
        <v>SYAFIQOH NURHAYATI</v>
      </c>
      <c r="G119">
        <v>2249</v>
      </c>
      <c r="K119">
        <v>22</v>
      </c>
      <c r="L119">
        <f>K119-M119</f>
        <v>20</v>
      </c>
      <c r="M119">
        <f>T119+Z119+AA119+AC119</f>
        <v>2</v>
      </c>
      <c r="W119">
        <v>1</v>
      </c>
      <c r="X119">
        <v>1</v>
      </c>
      <c r="AA119">
        <v>2</v>
      </c>
      <c r="AD119">
        <f>K119-M119</f>
        <v>20</v>
      </c>
      <c r="AF119" t="str">
        <v>WFH, Cuti Tahunan / Bersama</v>
      </c>
      <c r="AK119">
        <v>1</v>
      </c>
    </row>
    <row r="120">
      <c r="B120" t="str">
        <v>Tora Akadira</v>
      </c>
      <c r="G120">
        <v>2425</v>
      </c>
      <c r="K120">
        <v>22</v>
      </c>
      <c r="L120">
        <f>K120-M120</f>
        <v>21</v>
      </c>
      <c r="M120">
        <f>T120+Z120+AA120+AC120</f>
        <v>1</v>
      </c>
      <c r="AA120">
        <v>1</v>
      </c>
      <c r="AD120">
        <f>K120-M120</f>
        <v>21</v>
      </c>
      <c r="AF120" t="str">
        <v>Cuti Tahunan / Bersama, WFH</v>
      </c>
      <c r="AK120">
        <v>1</v>
      </c>
    </row>
    <row r="121">
      <c r="B121" t="str">
        <v>VICA ANANTA KUSUMA</v>
      </c>
      <c r="G121">
        <v>2251</v>
      </c>
      <c r="K121">
        <v>22</v>
      </c>
      <c r="L121">
        <f>K121-M121</f>
        <v>22</v>
      </c>
      <c r="M121">
        <f>T121+Z121+AA121+AC121</f>
        <v>0</v>
      </c>
      <c r="W121">
        <v>1</v>
      </c>
      <c r="X121">
        <v>2</v>
      </c>
      <c r="AD121">
        <f>K121-M121</f>
        <v>22</v>
      </c>
      <c r="AF121" t="str">
        <v>WFH</v>
      </c>
      <c r="AK121">
        <v>1</v>
      </c>
    </row>
    <row r="122">
      <c r="B122" t="str">
        <v>Viola Dwi Putri Syarif, S.Hum., M.IP.</v>
      </c>
      <c r="G122">
        <v>2870</v>
      </c>
      <c r="K122">
        <v>22</v>
      </c>
      <c r="L122">
        <f>K122-M122</f>
        <v>22</v>
      </c>
      <c r="M122">
        <f>T122+Z122+AA122+AC122</f>
        <v>0</v>
      </c>
      <c r="O122">
        <v>1</v>
      </c>
      <c r="X122">
        <v>2</v>
      </c>
      <c r="AD122">
        <f>K122-M122</f>
        <v>22</v>
      </c>
      <c r="AK122">
        <v>1</v>
      </c>
    </row>
    <row r="123">
      <c r="B123" t="str">
        <v>Vivi Indra Amelia, Nst.</v>
      </c>
      <c r="G123">
        <v>1648</v>
      </c>
      <c r="K123">
        <v>22</v>
      </c>
      <c r="L123">
        <f>K123-M123</f>
        <v>22</v>
      </c>
      <c r="M123">
        <f>T123+Z123+AA123+AC123</f>
        <v>0</v>
      </c>
      <c r="AD123">
        <f>K123-M123</f>
        <v>22</v>
      </c>
      <c r="AK123">
        <v>1</v>
      </c>
    </row>
    <row r="124">
      <c r="B124" t="str">
        <v>Wafiddin Naufal</v>
      </c>
      <c r="G124">
        <v>2045</v>
      </c>
      <c r="K124">
        <v>22</v>
      </c>
      <c r="L124">
        <f>K124-M124</f>
        <v>22</v>
      </c>
      <c r="M124">
        <f>T124+Z124+AA124+AC124</f>
        <v>0</v>
      </c>
      <c r="X124">
        <v>1</v>
      </c>
      <c r="AD124">
        <f>K124-M124</f>
        <v>22</v>
      </c>
      <c r="AF124" t="str">
        <v>WFH</v>
      </c>
      <c r="AK124">
        <v>1</v>
      </c>
    </row>
    <row r="125">
      <c r="B125" t="str">
        <v>Wawan Ruswanto</v>
      </c>
      <c r="G125">
        <v>2629</v>
      </c>
      <c r="K125">
        <v>22</v>
      </c>
      <c r="L125">
        <f>K125-M125</f>
        <v>22</v>
      </c>
      <c r="M125">
        <f>T125+Z125+AA125+AC125</f>
        <v>0</v>
      </c>
      <c r="O125">
        <v>2</v>
      </c>
      <c r="W125">
        <v>1</v>
      </c>
      <c r="X125">
        <v>2</v>
      </c>
      <c r="AD125">
        <f>K125-M125</f>
        <v>22</v>
      </c>
      <c r="AF125" t="str">
        <v>WFH</v>
      </c>
      <c r="AK125">
        <v>1</v>
      </c>
    </row>
    <row r="126">
      <c r="B126" t="str">
        <v>WIDIYANTO</v>
      </c>
      <c r="G126">
        <v>2299</v>
      </c>
      <c r="K126">
        <v>22</v>
      </c>
      <c r="L126">
        <f>K126-M126</f>
        <v>22</v>
      </c>
      <c r="M126">
        <f>T126+Z126+AA126+AC126</f>
        <v>0</v>
      </c>
      <c r="X126">
        <v>1</v>
      </c>
      <c r="AD126">
        <f>K126-M126</f>
        <v>22</v>
      </c>
      <c r="AF126" t="str">
        <v>WFH</v>
      </c>
      <c r="AK126">
        <v>1</v>
      </c>
    </row>
    <row r="127">
      <c r="B127" t="str">
        <v>Wira Puji Hendarwati, M.</v>
      </c>
      <c r="G127">
        <v>1873</v>
      </c>
      <c r="K127">
        <v>22</v>
      </c>
      <c r="L127">
        <f>K127-M127</f>
        <v>17</v>
      </c>
      <c r="M127">
        <f>T127+Z127+AA127+AC127</f>
        <v>5</v>
      </c>
      <c r="X127">
        <v>1</v>
      </c>
      <c r="Z127">
        <v>5</v>
      </c>
      <c r="AD127">
        <f>K127-M127</f>
        <v>17</v>
      </c>
      <c r="AF127" t="str">
        <v>Izin Sakit, WFH</v>
      </c>
      <c r="AK127">
        <v>1</v>
      </c>
    </row>
    <row r="128">
      <c r="B128" t="str">
        <v>YULIA BUDI</v>
      </c>
      <c r="G128">
        <v>1800</v>
      </c>
      <c r="K128">
        <v>22</v>
      </c>
      <c r="L128">
        <f>K128-M128</f>
        <v>21</v>
      </c>
      <c r="M128">
        <f>T128+Z128+AA128+AC128</f>
        <v>1</v>
      </c>
      <c r="P128">
        <v>1</v>
      </c>
      <c r="X128">
        <v>1</v>
      </c>
      <c r="AA128">
        <v>1</v>
      </c>
      <c r="AD128">
        <f>K128-M128</f>
        <v>21</v>
      </c>
      <c r="AF128" t="str">
        <v>WFH, Cuti Tahunan / Bersama</v>
      </c>
      <c r="AK128">
        <v>1</v>
      </c>
    </row>
    <row r="129">
      <c r="B129" t="str">
        <v>Total: 84</v>
      </c>
      <c r="K129">
        <f>SUM(K45:K128)</f>
        <v>1848</v>
      </c>
      <c r="L129">
        <f>SUM(L45:L128)</f>
        <v>1744</v>
      </c>
      <c r="AD129">
        <f>SUM(AD45:AD128)</f>
        <v>1744</v>
      </c>
    </row>
    <row r="130">
      <c r="B130" t="str">
        <v>Grand Total: 114</v>
      </c>
      <c r="K130">
        <f>SUM(K43,K129)</f>
        <v>2508</v>
      </c>
      <c r="L130">
        <f>SUM(L43,L129)</f>
        <v>2383</v>
      </c>
      <c r="AD130">
        <f>SUM(AD43,AD129)</f>
        <v>2383</v>
      </c>
      <c r="AK130">
        <f>SUM(AK13:AK129)</f>
        <v>114</v>
      </c>
    </row>
    <row r="133">
      <c r="C133" t="str">
        <v>Oleh:</v>
      </c>
      <c r="E133" t="str">
        <v>Supervisor</v>
      </c>
      <c r="J133" t="str">
        <v>30-09-2026</v>
      </c>
      <c r="AE133" t="str">
        <v>Hal. 1</v>
      </c>
    </row>
    <row r="136">
      <c r="Z136" t="str">
        <v>Tangerang Selatan, 30 September 2026</v>
      </c>
    </row>
    <row r="137">
      <c r="Z137" t="str">
        <v>Dekan FHISIP-UT,</v>
      </c>
    </row>
    <row r="142">
      <c r="Z142" t="str">
        <v>Dr. Meita Istianda, S.IP., M.Si.</v>
      </c>
    </row>
    <row r="143">
      <c r="Z143" t="str">
        <v>NIP 196705191987012001</v>
      </c>
    </row>
  </sheetData>
  <mergeCells count="511">
    <mergeCell ref="A1:P3"/>
    <mergeCell ref="Q2:U3"/>
    <mergeCell ref="AB3:AH8"/>
    <mergeCell ref="B10:E11"/>
    <mergeCell ref="F10:J11"/>
    <mergeCell ref="AH10:AI11"/>
    <mergeCell ref="B12:AI12"/>
    <mergeCell ref="B13:F13"/>
    <mergeCell ref="G13:J13"/>
    <mergeCell ref="M13:N13"/>
    <mergeCell ref="AD13:AE13"/>
    <mergeCell ref="B14:F14"/>
    <mergeCell ref="G14:J14"/>
    <mergeCell ref="M14:N14"/>
    <mergeCell ref="AD14:AE14"/>
    <mergeCell ref="B15:F15"/>
    <mergeCell ref="G15:J15"/>
    <mergeCell ref="M15:N15"/>
    <mergeCell ref="AD15:AE15"/>
    <mergeCell ref="B16:F16"/>
    <mergeCell ref="G16:J16"/>
    <mergeCell ref="M16:N16"/>
    <mergeCell ref="AD16:AE16"/>
    <mergeCell ref="B17:F17"/>
    <mergeCell ref="G17:J17"/>
    <mergeCell ref="M17:N17"/>
    <mergeCell ref="AD17:AE17"/>
    <mergeCell ref="B18:F18"/>
    <mergeCell ref="G18:J18"/>
    <mergeCell ref="M18:N18"/>
    <mergeCell ref="AA18:AB18"/>
    <mergeCell ref="AD18:AE18"/>
    <mergeCell ref="B19:F19"/>
    <mergeCell ref="G19:J19"/>
    <mergeCell ref="M19:N19"/>
    <mergeCell ref="AA19:AB19"/>
    <mergeCell ref="AD19:AE19"/>
    <mergeCell ref="B20:F20"/>
    <mergeCell ref="G20:J20"/>
    <mergeCell ref="M20:N20"/>
    <mergeCell ref="AD20:AE20"/>
    <mergeCell ref="B21:F21"/>
    <mergeCell ref="G21:J21"/>
    <mergeCell ref="M21:N21"/>
    <mergeCell ref="AD21:AE21"/>
    <mergeCell ref="B22:F22"/>
    <mergeCell ref="G22:J22"/>
    <mergeCell ref="M22:N22"/>
    <mergeCell ref="AA22:AB22"/>
    <mergeCell ref="AD22:AE22"/>
    <mergeCell ref="B23:F23"/>
    <mergeCell ref="G23:J23"/>
    <mergeCell ref="M23:N23"/>
    <mergeCell ref="AA23:AB23"/>
    <mergeCell ref="AD23:AE23"/>
    <mergeCell ref="B24:F24"/>
    <mergeCell ref="G24:J24"/>
    <mergeCell ref="M24:N24"/>
    <mergeCell ref="AD24:AE24"/>
    <mergeCell ref="B25:F25"/>
    <mergeCell ref="G25:J25"/>
    <mergeCell ref="M25:N25"/>
    <mergeCell ref="AD25:AE25"/>
    <mergeCell ref="B26:F26"/>
    <mergeCell ref="G26:J26"/>
    <mergeCell ref="M26:N26"/>
    <mergeCell ref="AA26:AB26"/>
    <mergeCell ref="AD26:AE26"/>
    <mergeCell ref="B27:F27"/>
    <mergeCell ref="G27:J27"/>
    <mergeCell ref="M27:N27"/>
    <mergeCell ref="AD27:AE27"/>
    <mergeCell ref="B28:F28"/>
    <mergeCell ref="G28:J28"/>
    <mergeCell ref="M28:N28"/>
    <mergeCell ref="P28:Q28"/>
    <mergeCell ref="AD28:AE28"/>
    <mergeCell ref="B29:F29"/>
    <mergeCell ref="G29:J29"/>
    <mergeCell ref="M29:N29"/>
    <mergeCell ref="AD29:AE29"/>
    <mergeCell ref="B30:F30"/>
    <mergeCell ref="G30:J30"/>
    <mergeCell ref="M30:N30"/>
    <mergeCell ref="P30:Q30"/>
    <mergeCell ref="AA30:AB30"/>
    <mergeCell ref="AD30:AE30"/>
    <mergeCell ref="B31:F31"/>
    <mergeCell ref="G31:J31"/>
    <mergeCell ref="M31:N31"/>
    <mergeCell ref="AD31:AE31"/>
    <mergeCell ref="B32:F32"/>
    <mergeCell ref="G32:J32"/>
    <mergeCell ref="M32:N32"/>
    <mergeCell ref="AD32:AE32"/>
    <mergeCell ref="B33:F33"/>
    <mergeCell ref="G33:J33"/>
    <mergeCell ref="M33:N33"/>
    <mergeCell ref="AD33:AE33"/>
    <mergeCell ref="B34:F34"/>
    <mergeCell ref="G34:J34"/>
    <mergeCell ref="M34:N34"/>
    <mergeCell ref="AA34:AB34"/>
    <mergeCell ref="AD34:AE34"/>
    <mergeCell ref="B35:F35"/>
    <mergeCell ref="G35:J35"/>
    <mergeCell ref="M35:N35"/>
    <mergeCell ref="AD35:AE35"/>
    <mergeCell ref="B36:F36"/>
    <mergeCell ref="G36:J36"/>
    <mergeCell ref="M36:N36"/>
    <mergeCell ref="AA36:AB36"/>
    <mergeCell ref="AD36:AE36"/>
    <mergeCell ref="B37:F37"/>
    <mergeCell ref="G37:J37"/>
    <mergeCell ref="M37:N37"/>
    <mergeCell ref="AD37:AE37"/>
    <mergeCell ref="B38:F38"/>
    <mergeCell ref="G38:J38"/>
    <mergeCell ref="M38:N38"/>
    <mergeCell ref="AD38:AE38"/>
    <mergeCell ref="B39:F39"/>
    <mergeCell ref="G39:J39"/>
    <mergeCell ref="M39:N39"/>
    <mergeCell ref="AD39:AE39"/>
    <mergeCell ref="B40:F40"/>
    <mergeCell ref="G40:J40"/>
    <mergeCell ref="M40:N40"/>
    <mergeCell ref="AD40:AE40"/>
    <mergeCell ref="B41:F41"/>
    <mergeCell ref="G41:J41"/>
    <mergeCell ref="M41:N41"/>
    <mergeCell ref="AD41:AE41"/>
    <mergeCell ref="B42:F42"/>
    <mergeCell ref="G42:J42"/>
    <mergeCell ref="M42:N42"/>
    <mergeCell ref="AD42:AE42"/>
    <mergeCell ref="B43:J43"/>
    <mergeCell ref="AD43:AE43"/>
    <mergeCell ref="B44:AI44"/>
    <mergeCell ref="B45:F45"/>
    <mergeCell ref="G45:J45"/>
    <mergeCell ref="M45:N45"/>
    <mergeCell ref="AD45:AE45"/>
    <mergeCell ref="B46:F46"/>
    <mergeCell ref="G46:J46"/>
    <mergeCell ref="M46:N46"/>
    <mergeCell ref="AD46:AE46"/>
    <mergeCell ref="B47:F47"/>
    <mergeCell ref="G47:J47"/>
    <mergeCell ref="M47:N47"/>
    <mergeCell ref="AD47:AE47"/>
    <mergeCell ref="B48:F48"/>
    <mergeCell ref="G48:J48"/>
    <mergeCell ref="M48:N48"/>
    <mergeCell ref="AA48:AB48"/>
    <mergeCell ref="AD48:AE48"/>
    <mergeCell ref="B49:F49"/>
    <mergeCell ref="G49:J49"/>
    <mergeCell ref="M49:N49"/>
    <mergeCell ref="AA49:AB49"/>
    <mergeCell ref="AD49:AE49"/>
    <mergeCell ref="B50:F50"/>
    <mergeCell ref="G50:J50"/>
    <mergeCell ref="M50:N50"/>
    <mergeCell ref="P50:Q50"/>
    <mergeCell ref="AA50:AB50"/>
    <mergeCell ref="AD50:AE50"/>
    <mergeCell ref="B51:F51"/>
    <mergeCell ref="G51:J51"/>
    <mergeCell ref="M51:N51"/>
    <mergeCell ref="AD51:AE51"/>
    <mergeCell ref="B52:F52"/>
    <mergeCell ref="G52:J52"/>
    <mergeCell ref="M52:N52"/>
    <mergeCell ref="AD52:AE52"/>
    <mergeCell ref="B53:F53"/>
    <mergeCell ref="G53:J53"/>
    <mergeCell ref="M53:N53"/>
    <mergeCell ref="AA53:AB53"/>
    <mergeCell ref="AD53:AE53"/>
    <mergeCell ref="B54:F54"/>
    <mergeCell ref="G54:J54"/>
    <mergeCell ref="M54:N54"/>
    <mergeCell ref="AD54:AE54"/>
    <mergeCell ref="B55:F55"/>
    <mergeCell ref="G55:J55"/>
    <mergeCell ref="M55:N55"/>
    <mergeCell ref="AD55:AE55"/>
    <mergeCell ref="B56:F56"/>
    <mergeCell ref="G56:J56"/>
    <mergeCell ref="M56:N56"/>
    <mergeCell ref="AA56:AB56"/>
    <mergeCell ref="AD56:AE56"/>
    <mergeCell ref="B57:F57"/>
    <mergeCell ref="G57:J57"/>
    <mergeCell ref="M57:N57"/>
    <mergeCell ref="AA57:AB57"/>
    <mergeCell ref="AD57:AE57"/>
    <mergeCell ref="B58:F58"/>
    <mergeCell ref="G58:J58"/>
    <mergeCell ref="M58:N58"/>
    <mergeCell ref="AD58:AE58"/>
    <mergeCell ref="B59:F59"/>
    <mergeCell ref="G59:J59"/>
    <mergeCell ref="M59:N59"/>
    <mergeCell ref="AD59:AE59"/>
    <mergeCell ref="B60:F60"/>
    <mergeCell ref="G60:J60"/>
    <mergeCell ref="M60:N60"/>
    <mergeCell ref="AD60:AE60"/>
    <mergeCell ref="B61:F61"/>
    <mergeCell ref="G61:J61"/>
    <mergeCell ref="M61:N61"/>
    <mergeCell ref="AD61:AE61"/>
    <mergeCell ref="B62:F62"/>
    <mergeCell ref="G62:J62"/>
    <mergeCell ref="M62:N62"/>
    <mergeCell ref="P62:Q62"/>
    <mergeCell ref="AD62:AE62"/>
    <mergeCell ref="B63:F63"/>
    <mergeCell ref="G63:J63"/>
    <mergeCell ref="M63:N63"/>
    <mergeCell ref="AD63:AE63"/>
    <mergeCell ref="B64:F64"/>
    <mergeCell ref="G64:J64"/>
    <mergeCell ref="M64:N64"/>
    <mergeCell ref="AD64:AE64"/>
    <mergeCell ref="B65:F65"/>
    <mergeCell ref="G65:J65"/>
    <mergeCell ref="M65:N65"/>
    <mergeCell ref="AD65:AE65"/>
    <mergeCell ref="B66:F66"/>
    <mergeCell ref="G66:J66"/>
    <mergeCell ref="M66:N66"/>
    <mergeCell ref="AD66:AE66"/>
    <mergeCell ref="B67:F67"/>
    <mergeCell ref="G67:J67"/>
    <mergeCell ref="M67:N67"/>
    <mergeCell ref="AD67:AE67"/>
    <mergeCell ref="B68:F68"/>
    <mergeCell ref="G68:J68"/>
    <mergeCell ref="M68:N68"/>
    <mergeCell ref="AD68:AE68"/>
    <mergeCell ref="B69:F69"/>
    <mergeCell ref="G69:J69"/>
    <mergeCell ref="M69:N69"/>
    <mergeCell ref="AD69:AE69"/>
    <mergeCell ref="B70:F70"/>
    <mergeCell ref="G70:J70"/>
    <mergeCell ref="M70:N70"/>
    <mergeCell ref="AD70:AE70"/>
    <mergeCell ref="B71:F71"/>
    <mergeCell ref="G71:J71"/>
    <mergeCell ref="M71:N71"/>
    <mergeCell ref="AD71:AE71"/>
    <mergeCell ref="B72:F72"/>
    <mergeCell ref="G72:J72"/>
    <mergeCell ref="M72:N72"/>
    <mergeCell ref="P72:Q72"/>
    <mergeCell ref="AA72:AB72"/>
    <mergeCell ref="AD72:AE72"/>
    <mergeCell ref="B73:F73"/>
    <mergeCell ref="G73:J73"/>
    <mergeCell ref="M73:N73"/>
    <mergeCell ref="AD73:AE73"/>
    <mergeCell ref="B74:F74"/>
    <mergeCell ref="G74:J74"/>
    <mergeCell ref="M74:N74"/>
    <mergeCell ref="AA74:AB74"/>
    <mergeCell ref="AD74:AE74"/>
    <mergeCell ref="B75:F75"/>
    <mergeCell ref="G75:J75"/>
    <mergeCell ref="M75:N75"/>
    <mergeCell ref="AD75:AE75"/>
    <mergeCell ref="B76:F76"/>
    <mergeCell ref="G76:J76"/>
    <mergeCell ref="M76:N76"/>
    <mergeCell ref="AA76:AB76"/>
    <mergeCell ref="AD76:AE76"/>
    <mergeCell ref="B77:F77"/>
    <mergeCell ref="G77:J77"/>
    <mergeCell ref="M77:N77"/>
    <mergeCell ref="AD77:AE77"/>
    <mergeCell ref="B78:F78"/>
    <mergeCell ref="G78:J78"/>
    <mergeCell ref="M78:N78"/>
    <mergeCell ref="AD78:AE78"/>
    <mergeCell ref="B79:F79"/>
    <mergeCell ref="G79:J79"/>
    <mergeCell ref="M79:N79"/>
    <mergeCell ref="AD79:AE79"/>
    <mergeCell ref="B80:F80"/>
    <mergeCell ref="G80:J80"/>
    <mergeCell ref="M80:N80"/>
    <mergeCell ref="AD80:AE80"/>
    <mergeCell ref="B81:F81"/>
    <mergeCell ref="G81:J81"/>
    <mergeCell ref="M81:N81"/>
    <mergeCell ref="AA81:AB81"/>
    <mergeCell ref="AD81:AE81"/>
    <mergeCell ref="B82:F82"/>
    <mergeCell ref="G82:J82"/>
    <mergeCell ref="M82:N82"/>
    <mergeCell ref="AA82:AB82"/>
    <mergeCell ref="AD82:AE82"/>
    <mergeCell ref="B83:F83"/>
    <mergeCell ref="G83:J83"/>
    <mergeCell ref="M83:N83"/>
    <mergeCell ref="AA83:AB83"/>
    <mergeCell ref="AD83:AE83"/>
    <mergeCell ref="B84:F84"/>
    <mergeCell ref="G84:J84"/>
    <mergeCell ref="M84:N84"/>
    <mergeCell ref="AD84:AE84"/>
    <mergeCell ref="B85:F85"/>
    <mergeCell ref="G85:J85"/>
    <mergeCell ref="M85:N85"/>
    <mergeCell ref="AD85:AE85"/>
    <mergeCell ref="B86:F86"/>
    <mergeCell ref="G86:J86"/>
    <mergeCell ref="M86:N86"/>
    <mergeCell ref="AD86:AE86"/>
    <mergeCell ref="B87:F87"/>
    <mergeCell ref="G87:J87"/>
    <mergeCell ref="M87:N87"/>
    <mergeCell ref="AD87:AE87"/>
    <mergeCell ref="B88:F88"/>
    <mergeCell ref="G88:J88"/>
    <mergeCell ref="M88:N88"/>
    <mergeCell ref="AD88:AE88"/>
    <mergeCell ref="B89:F89"/>
    <mergeCell ref="G89:J89"/>
    <mergeCell ref="M89:N89"/>
    <mergeCell ref="AD89:AE89"/>
    <mergeCell ref="B90:F90"/>
    <mergeCell ref="G90:J90"/>
    <mergeCell ref="M90:N90"/>
    <mergeCell ref="AD90:AE90"/>
    <mergeCell ref="B91:F91"/>
    <mergeCell ref="G91:J91"/>
    <mergeCell ref="M91:N91"/>
    <mergeCell ref="AA91:AB91"/>
    <mergeCell ref="AD91:AE91"/>
    <mergeCell ref="B92:F92"/>
    <mergeCell ref="G92:J92"/>
    <mergeCell ref="M92:N92"/>
    <mergeCell ref="AD92:AE92"/>
    <mergeCell ref="B93:F93"/>
    <mergeCell ref="G93:J93"/>
    <mergeCell ref="M93:N93"/>
    <mergeCell ref="AD93:AE93"/>
    <mergeCell ref="B94:F94"/>
    <mergeCell ref="G94:J94"/>
    <mergeCell ref="M94:N94"/>
    <mergeCell ref="AD94:AE94"/>
    <mergeCell ref="B95:F95"/>
    <mergeCell ref="G95:J95"/>
    <mergeCell ref="M95:N95"/>
    <mergeCell ref="AD95:AE95"/>
    <mergeCell ref="B96:F96"/>
    <mergeCell ref="G96:J96"/>
    <mergeCell ref="M96:N96"/>
    <mergeCell ref="AA96:AB96"/>
    <mergeCell ref="AD96:AE96"/>
    <mergeCell ref="B97:F97"/>
    <mergeCell ref="G97:J97"/>
    <mergeCell ref="M97:N97"/>
    <mergeCell ref="AD97:AE97"/>
    <mergeCell ref="B98:F98"/>
    <mergeCell ref="G98:J98"/>
    <mergeCell ref="M98:N98"/>
    <mergeCell ref="AD98:AE98"/>
    <mergeCell ref="B99:F99"/>
    <mergeCell ref="G99:J99"/>
    <mergeCell ref="M99:N99"/>
    <mergeCell ref="AA99:AB99"/>
    <mergeCell ref="AD99:AE99"/>
    <mergeCell ref="B100:F100"/>
    <mergeCell ref="G100:J100"/>
    <mergeCell ref="M100:N100"/>
    <mergeCell ref="AD100:AE100"/>
    <mergeCell ref="B101:F101"/>
    <mergeCell ref="G101:J101"/>
    <mergeCell ref="M101:N101"/>
    <mergeCell ref="AD101:AE101"/>
    <mergeCell ref="B102:F102"/>
    <mergeCell ref="G102:J102"/>
    <mergeCell ref="M102:N102"/>
    <mergeCell ref="AA102:AB102"/>
    <mergeCell ref="AD102:AE102"/>
    <mergeCell ref="B103:F103"/>
    <mergeCell ref="G103:J103"/>
    <mergeCell ref="M103:N103"/>
    <mergeCell ref="AD103:AE103"/>
    <mergeCell ref="B104:F104"/>
    <mergeCell ref="G104:J104"/>
    <mergeCell ref="M104:N104"/>
    <mergeCell ref="AD104:AE104"/>
    <mergeCell ref="B105:F105"/>
    <mergeCell ref="G105:J105"/>
    <mergeCell ref="M105:N105"/>
    <mergeCell ref="AD105:AE105"/>
    <mergeCell ref="B106:F106"/>
    <mergeCell ref="G106:J106"/>
    <mergeCell ref="M106:N106"/>
    <mergeCell ref="AD106:AE106"/>
    <mergeCell ref="B107:F107"/>
    <mergeCell ref="G107:J107"/>
    <mergeCell ref="M107:N107"/>
    <mergeCell ref="AD107:AE107"/>
    <mergeCell ref="B108:F108"/>
    <mergeCell ref="G108:J108"/>
    <mergeCell ref="M108:N108"/>
    <mergeCell ref="AD108:AE108"/>
    <mergeCell ref="B109:F109"/>
    <mergeCell ref="G109:J109"/>
    <mergeCell ref="M109:N109"/>
    <mergeCell ref="AA109:AB109"/>
    <mergeCell ref="AD109:AE109"/>
    <mergeCell ref="B110:F110"/>
    <mergeCell ref="G110:J110"/>
    <mergeCell ref="M110:N110"/>
    <mergeCell ref="AD110:AE110"/>
    <mergeCell ref="B111:F111"/>
    <mergeCell ref="G111:J111"/>
    <mergeCell ref="M111:N111"/>
    <mergeCell ref="AD111:AE111"/>
    <mergeCell ref="B112:F112"/>
    <mergeCell ref="G112:J112"/>
    <mergeCell ref="M112:N112"/>
    <mergeCell ref="AD112:AE112"/>
    <mergeCell ref="B113:F113"/>
    <mergeCell ref="G113:J113"/>
    <mergeCell ref="M113:N113"/>
    <mergeCell ref="AA113:AB113"/>
    <mergeCell ref="AD113:AE113"/>
    <mergeCell ref="B114:F114"/>
    <mergeCell ref="G114:J114"/>
    <mergeCell ref="M114:N114"/>
    <mergeCell ref="AA114:AB114"/>
    <mergeCell ref="AD114:AE114"/>
    <mergeCell ref="B115:F115"/>
    <mergeCell ref="G115:J115"/>
    <mergeCell ref="M115:N115"/>
    <mergeCell ref="AA115:AB115"/>
    <mergeCell ref="AD115:AE115"/>
    <mergeCell ref="B116:F116"/>
    <mergeCell ref="G116:J116"/>
    <mergeCell ref="M116:N116"/>
    <mergeCell ref="AD116:AE116"/>
    <mergeCell ref="B117:F117"/>
    <mergeCell ref="G117:J117"/>
    <mergeCell ref="M117:N117"/>
    <mergeCell ref="AD117:AE117"/>
    <mergeCell ref="B118:F118"/>
    <mergeCell ref="G118:J118"/>
    <mergeCell ref="M118:N118"/>
    <mergeCell ref="AA118:AB118"/>
    <mergeCell ref="AD118:AE118"/>
    <mergeCell ref="B119:F119"/>
    <mergeCell ref="G119:J119"/>
    <mergeCell ref="M119:N119"/>
    <mergeCell ref="AA119:AB119"/>
    <mergeCell ref="AD119:AE119"/>
    <mergeCell ref="B120:F120"/>
    <mergeCell ref="G120:J120"/>
    <mergeCell ref="M120:N120"/>
    <mergeCell ref="AA120:AB120"/>
    <mergeCell ref="AD120:AE120"/>
    <mergeCell ref="B121:F121"/>
    <mergeCell ref="G121:J121"/>
    <mergeCell ref="M121:N121"/>
    <mergeCell ref="AD121:AE121"/>
    <mergeCell ref="B122:F122"/>
    <mergeCell ref="G122:J122"/>
    <mergeCell ref="M122:N122"/>
    <mergeCell ref="AD122:AE122"/>
    <mergeCell ref="B123:F123"/>
    <mergeCell ref="G123:J123"/>
    <mergeCell ref="M123:N123"/>
    <mergeCell ref="AD123:AE123"/>
    <mergeCell ref="B124:F124"/>
    <mergeCell ref="G124:J124"/>
    <mergeCell ref="M124:N124"/>
    <mergeCell ref="AD124:AE124"/>
    <mergeCell ref="B125:F125"/>
    <mergeCell ref="G125:J125"/>
    <mergeCell ref="M125:N125"/>
    <mergeCell ref="AD125:AE125"/>
    <mergeCell ref="B126:F126"/>
    <mergeCell ref="G126:J126"/>
    <mergeCell ref="M126:N126"/>
    <mergeCell ref="AD126:AE126"/>
    <mergeCell ref="B127:F127"/>
    <mergeCell ref="G127:J127"/>
    <mergeCell ref="M127:N127"/>
    <mergeCell ref="AD127:AE127"/>
    <mergeCell ref="B128:F128"/>
    <mergeCell ref="G128:J128"/>
    <mergeCell ref="M128:N128"/>
    <mergeCell ref="P128:Q128"/>
    <mergeCell ref="AA128:AB128"/>
    <mergeCell ref="AD128:AE128"/>
    <mergeCell ref="B129:J129"/>
    <mergeCell ref="AD129:AE129"/>
    <mergeCell ref="B130:J130"/>
    <mergeCell ref="AD130:AE130"/>
    <mergeCell ref="E133:H134"/>
    <mergeCell ref="J133:M133"/>
    <mergeCell ref="AE133:AH134"/>
  </mergeCells>
  <ignoredErrors>
    <ignoredError numberStoredAsText="1" sqref="A1:AL1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