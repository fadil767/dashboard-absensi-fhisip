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kap 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86"/>
  <sheetViews>
    <sheetView workbookViewId="0"/>
  </sheetViews>
  <cols>
    <col min="1" max="1" width="2.83203125" customWidth="1"/>
    <col min="2" max="2" width="8.83203125" customWidth="1"/>
    <col min="3" max="3" width="10.83203125" customWidth="1"/>
    <col min="4" max="4" width="8.83203125" customWidth="1"/>
    <col min="5" max="5" width="12.83203125" customWidth="1"/>
    <col min="6" max="6" width="4.83203125" customWidth="1"/>
    <col min="7" max="7" width="5.83203125" customWidth="1"/>
    <col min="8" max="8" width="5.83203125" customWidth="1"/>
    <col min="9" max="9" width="4.83203125" customWidth="1"/>
    <col min="10" max="10" width="2.83203125" customWidth="1"/>
    <col min="11" max="11" width="8.83203125" customWidth="1"/>
    <col min="12" max="12" width="8.83203125" customWidth="1"/>
    <col min="13" max="13" width="6.83203125" customWidth="1"/>
    <col min="14" max="14" width="4.83203125" customWidth="1"/>
    <col min="15" max="15" width="8.83203125" customWidth="1"/>
    <col min="16" max="16" width="6.83203125" customWidth="1"/>
    <col min="17" max="17" width="4.83203125" customWidth="1"/>
    <col min="18" max="18" width="6.83203125" customWidth="1"/>
    <col min="19" max="19" width="16.83203125" customWidth="1"/>
    <col min="20" max="20" width="6.83203125" customWidth="1"/>
    <col min="21" max="21" width="4.83203125" customWidth="1"/>
    <col min="22" max="22" width="4.83203125" customWidth="1"/>
    <col min="23" max="23" width="6.83203125" customWidth="1"/>
    <col min="24" max="24" width="6.83203125" customWidth="1"/>
    <col min="25" max="25" width="6.83203125" customWidth="1"/>
    <col min="26" max="26" width="6.83203125" customWidth="1"/>
    <col min="27" max="27" width="6.83203125" customWidth="1"/>
    <col min="28" max="28" width="4.83203125" customWidth="1"/>
    <col min="29" max="29" width="6.83203125" customWidth="1"/>
    <col min="30" max="30" width="8.83203125" customWidth="1"/>
    <col min="31" max="31" width="4.83203125" customWidth="1"/>
    <col min="32" max="32" width="26.83203125" customWidth="1"/>
    <col min="33" max="33" width="10.83203125" customWidth="1"/>
    <col min="34" max="34" width="8.83203125" customWidth="1"/>
    <col min="35" max="35" width="4.83203125" customWidth="1"/>
    <col min="36" max="36" width="2.83203125" customWidth="1"/>
    <col min="37" max="37" width="6.83203125" customWidth="1"/>
    <col min="38" max="38" width="16.83203125" customWidth="1"/>
  </cols>
  <sheetData>
    <row r="1">
      <c r="A1" t="str">
        <v>Laporan Rekapitulasi</v>
      </c>
    </row>
    <row r="2">
      <c r="Q2" t="str">
        <v>(FHISIP September 2026)</v>
      </c>
    </row>
    <row r="3">
      <c r="AB3" t="str">
        <v>Dari 01-09-2026 s/d 30-09-2026</v>
      </c>
    </row>
    <row r="10" xml:space="preserve">
      <c r="B10" t="str">
        <v>Nama</v>
      </c>
      <c r="F10" t="str">
        <v>No. ID</v>
      </c>
      <c r="K10" t="str">
        <v>Normal</v>
      </c>
      <c r="L10" t="str">
        <v>Riil</v>
      </c>
      <c r="M10" t="str">
        <v>Absen</v>
      </c>
      <c r="O10" t="str">
        <v>Trlmbt</v>
      </c>
      <c r="P10" t="str">
        <v>Plg. Cpt</v>
      </c>
      <c r="R10" t="str">
        <v>Lmbr</v>
      </c>
      <c r="S10" t="str">
        <v>Tanpa Keterangan</v>
      </c>
      <c r="T10" t="str">
        <v>D.Luar</v>
      </c>
      <c r="W10" t="str">
        <v>N/In</v>
      </c>
      <c r="X10" t="str">
        <v>N/Out</v>
      </c>
      <c r="Y10" t="str">
        <v>Scan</v>
      </c>
      <c r="Z10" t="str">
        <v>Sakit</v>
      </c>
      <c r="AA10" t="str">
        <v>Cuti</v>
      </c>
      <c r="AC10" t="str">
        <v>Ijin</v>
      </c>
      <c r="AG10" t="str">
        <v>Jam Kerja</v>
      </c>
      <c r="AH10" t="str" xml:space="preserve">
        <v xml:space="preserve">Rata-2
%</v>
      </c>
    </row>
    <row r="11">
      <c r="M11" t="str">
        <v>Hari</v>
      </c>
      <c r="AG11" t="str">
        <v>Jam</v>
      </c>
    </row>
    <row r="12">
      <c r="B12" t="str">
        <v>ADMINISTRASI</v>
      </c>
    </row>
    <row r="13">
      <c r="B13" t="str">
        <v>Acep Surya</v>
      </c>
      <c r="G13">
        <v>148</v>
      </c>
      <c r="K13">
        <v>22</v>
      </c>
      <c r="L13">
        <f>K13-M13</f>
        <v>22</v>
      </c>
      <c r="M13">
        <f>S13+T13+Z13+AA13+AC13</f>
        <v>0</v>
      </c>
      <c r="AD13">
        <f>K13-M13</f>
        <v>22</v>
      </c>
      <c r="AK13">
        <v>1</v>
      </c>
    </row>
    <row r="14" xml:space="preserve">
      <c r="B14" t="str" xml:space="preserve">
        <v xml:space="preserve">Caecilia Maria
I.H,S.Psi</v>
      </c>
      <c r="G14">
        <v>227</v>
      </c>
      <c r="K14">
        <v>22</v>
      </c>
      <c r="L14">
        <f>K14-M14</f>
        <v>21</v>
      </c>
      <c r="M14">
        <f>S14+T14+Z14+AA14+AC14</f>
        <v>1</v>
      </c>
      <c r="AA14">
        <v>1</v>
      </c>
      <c r="AD14">
        <f>K14-M14</f>
        <v>21</v>
      </c>
      <c r="AK14">
        <v>1</v>
      </c>
    </row>
    <row r="15">
      <c r="B15" t="str">
        <v>Muhammad Jati Eko Ermanto, S.H.</v>
      </c>
      <c r="G15">
        <v>233</v>
      </c>
      <c r="K15">
        <v>22</v>
      </c>
      <c r="L15">
        <f>K15-M15</f>
        <v>20</v>
      </c>
      <c r="M15">
        <f>S15+T15+Z15+AA15+AC15</f>
        <v>2</v>
      </c>
      <c r="T15">
        <v>2</v>
      </c>
      <c r="AD15">
        <f>K15-M15</f>
        <v>20</v>
      </c>
      <c r="AK15">
        <v>1</v>
      </c>
    </row>
    <row r="16">
      <c r="B16" t="str">
        <v>Iwan Ruswana</v>
      </c>
      <c r="G16">
        <v>302</v>
      </c>
      <c r="K16">
        <v>22</v>
      </c>
      <c r="L16">
        <f>K16-M16</f>
        <v>21</v>
      </c>
      <c r="M16">
        <f>S16+T16+Z16+AA16+AC16</f>
        <v>1</v>
      </c>
      <c r="Z16">
        <v>1</v>
      </c>
      <c r="AD16">
        <f>K16-M16</f>
        <v>21</v>
      </c>
      <c r="AK16">
        <v>1</v>
      </c>
    </row>
    <row r="17">
      <c r="B17" t="str">
        <v>Endang Ismiatun</v>
      </c>
      <c r="G17">
        <v>372</v>
      </c>
      <c r="K17">
        <v>22</v>
      </c>
      <c r="L17">
        <f>K17-M17</f>
        <v>22</v>
      </c>
      <c r="M17">
        <f>S17+T17+Z17+AA17+AC17</f>
        <v>0</v>
      </c>
      <c r="AD17">
        <f>K17-M17</f>
        <v>22</v>
      </c>
      <c r="AK17">
        <v>1</v>
      </c>
    </row>
    <row r="18" xml:space="preserve">
      <c r="B18" t="str" xml:space="preserve">
        <v xml:space="preserve">Elisa Pandanwangi,
S.Sos., M.Kom.</v>
      </c>
      <c r="G18">
        <v>404</v>
      </c>
      <c r="K18">
        <v>22</v>
      </c>
      <c r="L18">
        <f>K18-M18</f>
        <v>22</v>
      </c>
      <c r="M18">
        <f>S18+T18+Z18+AA18+AC18</f>
        <v>0</v>
      </c>
      <c r="AD18">
        <f>K18-M18</f>
        <v>22</v>
      </c>
      <c r="AK18">
        <v>1</v>
      </c>
    </row>
    <row r="19" xml:space="preserve">
      <c r="B19" t="str" xml:space="preserve">
        <v xml:space="preserve">Erika Darmayanti, S.P.
S.E</v>
      </c>
      <c r="G19">
        <v>451</v>
      </c>
      <c r="K19">
        <v>22</v>
      </c>
      <c r="L19">
        <f>K19-M19</f>
        <v>21</v>
      </c>
      <c r="M19">
        <f>S19+T19+Z19+AA19+AC19</f>
        <v>1</v>
      </c>
      <c r="AA19">
        <v>1</v>
      </c>
      <c r="AD19">
        <f>K19-M19</f>
        <v>21</v>
      </c>
      <c r="AK19">
        <v>1</v>
      </c>
    </row>
    <row r="20">
      <c r="B20" t="str">
        <v>Total: 7</v>
      </c>
      <c r="K20">
        <f>SUM(K13:K19)</f>
        <v>154</v>
      </c>
      <c r="L20">
        <f>SUM(L13:L19)</f>
        <v>149</v>
      </c>
      <c r="AD20">
        <f>SUM(AD13:AD19)</f>
        <v>149</v>
      </c>
    </row>
    <row r="21">
      <c r="B21" t="str">
        <v>DOSEN</v>
      </c>
    </row>
    <row r="22" xml:space="preserve">
      <c r="B22" t="str" xml:space="preserve">
        <v xml:space="preserve">Dr. Agus Priyanto,
M.Si</v>
      </c>
      <c r="G22">
        <v>549</v>
      </c>
      <c r="K22">
        <v>22</v>
      </c>
      <c r="L22">
        <f>K22-M22</f>
        <v>13</v>
      </c>
      <c r="M22">
        <f>S22+T22+Z22+AA22+AC22</f>
        <v>9</v>
      </c>
      <c r="T22">
        <v>4</v>
      </c>
      <c r="AA22">
        <v>5</v>
      </c>
      <c r="AD22">
        <f>K22-M22</f>
        <v>13</v>
      </c>
      <c r="AK22">
        <v>1</v>
      </c>
    </row>
    <row r="23" xml:space="preserve">
      <c r="B23" t="str" xml:space="preserve">
        <v xml:space="preserve">Drs. Agus Riyanto,
M.Ed.</v>
      </c>
      <c r="G23">
        <v>550</v>
      </c>
      <c r="K23">
        <v>22</v>
      </c>
      <c r="L23">
        <f>K23-M23</f>
        <v>19</v>
      </c>
      <c r="M23">
        <f>S23+T23+Z23+AA23+AC23</f>
        <v>3</v>
      </c>
      <c r="O23">
        <v>1</v>
      </c>
      <c r="AA23">
        <v>3</v>
      </c>
      <c r="AD23">
        <f>K23-M23</f>
        <v>19</v>
      </c>
      <c r="AK23">
        <v>1</v>
      </c>
    </row>
    <row r="24" xml:space="preserve">
      <c r="B24" t="str" xml:space="preserve">
        <v xml:space="preserve">Anto Hidayat, S.IP.,
M.S</v>
      </c>
      <c r="G24">
        <v>552</v>
      </c>
      <c r="K24">
        <v>22</v>
      </c>
      <c r="L24">
        <f>K24-M24</f>
        <v>17</v>
      </c>
      <c r="M24">
        <f>S24+T24+Z24+AA24+AC24</f>
        <v>5</v>
      </c>
      <c r="T24">
        <v>5</v>
      </c>
      <c r="AD24">
        <f>K24-M24</f>
        <v>17</v>
      </c>
      <c r="AK24">
        <v>1</v>
      </c>
    </row>
    <row r="25">
      <c r="B25" t="str">
        <v>Dra. Arifah Bintarti</v>
      </c>
      <c r="G25">
        <v>554</v>
      </c>
      <c r="K25">
        <v>22</v>
      </c>
      <c r="L25">
        <f>K25-M25</f>
        <v>16</v>
      </c>
      <c r="M25">
        <f>S25+T25+Z25+AA25+AC25</f>
        <v>6</v>
      </c>
      <c r="T25">
        <v>1</v>
      </c>
      <c r="AA25">
        <v>5</v>
      </c>
      <c r="AD25">
        <f>K25-M25</f>
        <v>16</v>
      </c>
      <c r="AK25">
        <v>1</v>
      </c>
    </row>
    <row r="26">
      <c r="B26" t="str">
        <v>Prof. Daryono, SH.</v>
      </c>
      <c r="G26">
        <v>559</v>
      </c>
      <c r="K26">
        <v>22</v>
      </c>
      <c r="L26">
        <f>K26-M26</f>
        <v>11</v>
      </c>
      <c r="M26">
        <f>S26+T26+Z26+AA26+AC26</f>
        <v>11</v>
      </c>
      <c r="P26">
        <v>1</v>
      </c>
      <c r="T26">
        <v>11</v>
      </c>
      <c r="AD26">
        <f>K26-M26</f>
        <v>11</v>
      </c>
      <c r="AK26">
        <v>1</v>
      </c>
    </row>
    <row r="27">
      <c r="B27" t="str">
        <v>Dr. Irsanti WA,S.Sos.M., Si.</v>
      </c>
      <c r="G27">
        <v>567</v>
      </c>
      <c r="K27">
        <v>22</v>
      </c>
      <c r="L27">
        <f>K27-M27</f>
        <v>14</v>
      </c>
      <c r="M27">
        <f>S27+T27+Z27+AA27+AC27</f>
        <v>8</v>
      </c>
      <c r="T27">
        <v>8</v>
      </c>
      <c r="AD27">
        <f>K27-M27</f>
        <v>14</v>
      </c>
      <c r="AK27">
        <v>1</v>
      </c>
    </row>
    <row r="28">
      <c r="B28" t="str">
        <v>Dr. Isnaeni Yuliani, M.Si.</v>
      </c>
      <c r="G28">
        <v>570</v>
      </c>
      <c r="K28">
        <v>22</v>
      </c>
      <c r="L28">
        <f>K28-M28</f>
        <v>11</v>
      </c>
      <c r="M28">
        <f>S28+T28+Z28+AA28+AC28</f>
        <v>11</v>
      </c>
      <c r="T28">
        <v>11</v>
      </c>
      <c r="AD28">
        <f>K28-M28</f>
        <v>11</v>
      </c>
      <c r="AK28">
        <v>1</v>
      </c>
    </row>
    <row r="29" xml:space="preserve">
      <c r="B29" t="str" xml:space="preserve">
        <v xml:space="preserve">Dr. Meita Istianda,
M.Si</v>
      </c>
      <c r="G29">
        <v>574</v>
      </c>
      <c r="K29">
        <v>22</v>
      </c>
      <c r="L29">
        <f>K29-M29</f>
        <v>16</v>
      </c>
      <c r="M29">
        <f>S29+T29+Z29+AA29+AC29</f>
        <v>6</v>
      </c>
      <c r="T29">
        <v>4</v>
      </c>
      <c r="Z29">
        <v>2</v>
      </c>
      <c r="AD29">
        <f>K29-M29</f>
        <v>16</v>
      </c>
      <c r="AK29">
        <v>1</v>
      </c>
    </row>
    <row r="30" xml:space="preserve">
      <c r="B30" t="str" xml:space="preserve">
        <v xml:space="preserve">Dra. Nila Kusuma,
M.Si.</v>
      </c>
      <c r="G30">
        <v>577</v>
      </c>
      <c r="K30">
        <v>22</v>
      </c>
      <c r="L30">
        <f>K30-M30</f>
        <v>20</v>
      </c>
      <c r="M30">
        <f>S30+T30+Z30+AA30+AC30</f>
        <v>2</v>
      </c>
      <c r="T30">
        <v>2</v>
      </c>
      <c r="AD30">
        <f>K30-M30</f>
        <v>20</v>
      </c>
      <c r="AK30">
        <v>1</v>
      </c>
    </row>
    <row r="31" xml:space="preserve">
      <c r="B31" t="str" xml:space="preserve">
        <v xml:space="preserve">Dra. Parwitaningsih,
M.S</v>
      </c>
      <c r="G31">
        <v>578</v>
      </c>
      <c r="K31">
        <v>22</v>
      </c>
      <c r="L31">
        <f>K31-M31</f>
        <v>20</v>
      </c>
      <c r="M31">
        <f>S31+T31+Z31+AA31+AC31</f>
        <v>2</v>
      </c>
      <c r="T31">
        <v>1</v>
      </c>
      <c r="AA31">
        <v>1</v>
      </c>
      <c r="AD31">
        <f>K31-M31</f>
        <v>20</v>
      </c>
      <c r="AK31">
        <v>1</v>
      </c>
    </row>
    <row r="32">
      <c r="B32" t="str">
        <v>Dr. Muhtarom, S.E., M.M., Ak., CA</v>
      </c>
      <c r="G32">
        <v>579</v>
      </c>
      <c r="K32">
        <v>22</v>
      </c>
      <c r="L32">
        <f>K32-M32</f>
        <v>6</v>
      </c>
      <c r="M32">
        <f>S32+T32+Z32+AA32+AC32</f>
        <v>16</v>
      </c>
      <c r="T32">
        <v>16</v>
      </c>
      <c r="AD32">
        <f>K32-M32</f>
        <v>6</v>
      </c>
      <c r="AK32">
        <v>1</v>
      </c>
    </row>
    <row r="33">
      <c r="B33" t="str">
        <v>Dr. Sri Sediyaningsih, M.Si.</v>
      </c>
      <c r="G33">
        <v>586</v>
      </c>
      <c r="K33">
        <v>22</v>
      </c>
      <c r="L33">
        <f>K33-M33</f>
        <v>15</v>
      </c>
      <c r="M33">
        <f>S33+T33+Z33+AA33+AC33</f>
        <v>7</v>
      </c>
      <c r="O33">
        <v>1</v>
      </c>
      <c r="P33">
        <v>1</v>
      </c>
      <c r="T33">
        <v>6</v>
      </c>
      <c r="AA33">
        <v>1</v>
      </c>
      <c r="AD33">
        <f>K33-M33</f>
        <v>15</v>
      </c>
      <c r="AK33">
        <v>1</v>
      </c>
    </row>
    <row r="34">
      <c r="B34" t="str">
        <v>Yanti Hermawati, S.Sos.I., M.Si.</v>
      </c>
      <c r="G34">
        <v>599</v>
      </c>
      <c r="K34">
        <v>22</v>
      </c>
      <c r="L34">
        <f>K34-M34</f>
        <v>17</v>
      </c>
      <c r="M34">
        <f>S34+T34+Z34+AA34+AC34</f>
        <v>5</v>
      </c>
      <c r="T34">
        <v>5</v>
      </c>
      <c r="AD34">
        <f>K34-M34</f>
        <v>17</v>
      </c>
      <c r="AK34">
        <v>1</v>
      </c>
    </row>
    <row r="35">
      <c r="B35" t="str">
        <v>Dra. Yulia Budiwati, M.Si.</v>
      </c>
      <c r="G35">
        <v>800</v>
      </c>
      <c r="K35">
        <v>22</v>
      </c>
      <c r="L35">
        <f>K35-M35</f>
        <v>20</v>
      </c>
      <c r="M35">
        <f>S35+T35+Z35+AA35+AC35</f>
        <v>2</v>
      </c>
      <c r="P35">
        <v>1</v>
      </c>
      <c r="T35">
        <v>1</v>
      </c>
      <c r="AA35">
        <v>1</v>
      </c>
      <c r="AD35">
        <f>K35-M35</f>
        <v>20</v>
      </c>
      <c r="AK35">
        <v>1</v>
      </c>
    </row>
    <row r="36" xml:space="preserve">
      <c r="B36" t="str" xml:space="preserve">
        <v xml:space="preserve">Dr. Milwan, S.Sos.,
M.Si</v>
      </c>
      <c r="G36">
        <v>806</v>
      </c>
      <c r="K36">
        <v>22</v>
      </c>
      <c r="L36">
        <f>K36-M36</f>
        <v>14</v>
      </c>
      <c r="M36">
        <f>S36+T36+Z36+AA36+AC36</f>
        <v>8</v>
      </c>
      <c r="T36">
        <v>8</v>
      </c>
      <c r="AD36">
        <f>K36-M36</f>
        <v>14</v>
      </c>
      <c r="AK36">
        <v>1</v>
      </c>
    </row>
    <row r="37">
      <c r="B37" t="str">
        <v>Dra. Ace Sriati Rachman M.Si.</v>
      </c>
      <c r="G37">
        <v>809</v>
      </c>
      <c r="K37">
        <v>22</v>
      </c>
      <c r="L37">
        <f>K37-M37</f>
        <v>14</v>
      </c>
      <c r="M37">
        <f>S37+T37+Z37+AA37+AC37</f>
        <v>8</v>
      </c>
      <c r="T37">
        <v>8</v>
      </c>
      <c r="AD37">
        <f>K37-M37</f>
        <v>14</v>
      </c>
      <c r="AK37">
        <v>1</v>
      </c>
    </row>
    <row r="38">
      <c r="B38" t="str">
        <v>Total: 16</v>
      </c>
      <c r="K38">
        <f>SUM(K22:K37)</f>
        <v>352</v>
      </c>
      <c r="L38">
        <f>SUM(L22:L37)</f>
        <v>243</v>
      </c>
      <c r="AD38">
        <f>SUM(AD22:AD37)</f>
        <v>243</v>
      </c>
    </row>
    <row r="39">
      <c r="B39" t="str">
        <v>ADMINISTRASI</v>
      </c>
    </row>
    <row r="40">
      <c r="B40" t="str">
        <v>Zumarie Putrimezu, S.E.</v>
      </c>
      <c r="G40">
        <v>831</v>
      </c>
      <c r="K40">
        <v>22</v>
      </c>
      <c r="L40">
        <f>K40-M40</f>
        <v>22</v>
      </c>
      <c r="M40">
        <f>S40+T40+Z40+AA40+AC40</f>
        <v>0</v>
      </c>
      <c r="AD40">
        <f>K40-M40</f>
        <v>22</v>
      </c>
      <c r="AK40">
        <v>1</v>
      </c>
    </row>
    <row r="41">
      <c r="B41" t="str">
        <v>Eka Indriati, S.Kom.</v>
      </c>
      <c r="G41">
        <v>835</v>
      </c>
      <c r="K41">
        <v>22</v>
      </c>
      <c r="L41">
        <f>K41-M41</f>
        <v>12</v>
      </c>
      <c r="M41">
        <f>S41+T41+Z41+AA41+AC41</f>
        <v>10</v>
      </c>
      <c r="T41">
        <v>8</v>
      </c>
      <c r="AA41">
        <v>2</v>
      </c>
      <c r="AD41">
        <f>K41-M41</f>
        <v>12</v>
      </c>
      <c r="AK41">
        <v>1</v>
      </c>
    </row>
    <row r="42">
      <c r="B42" t="str">
        <v>Total: 2</v>
      </c>
      <c r="K42">
        <f>SUM(K40:K41)</f>
        <v>44</v>
      </c>
      <c r="L42">
        <f>SUM(L40:L41)</f>
        <v>34</v>
      </c>
      <c r="AD42">
        <f>SUM(AD40:AD41)</f>
        <v>34</v>
      </c>
    </row>
    <row r="43">
      <c r="B43" t="str">
        <v>DOSEN</v>
      </c>
    </row>
    <row r="44">
      <c r="B44" t="str">
        <v>Drs. Hasanuddin, M.Si.</v>
      </c>
      <c r="G44">
        <v>851</v>
      </c>
      <c r="K44">
        <v>22</v>
      </c>
      <c r="L44">
        <f>K44-M44</f>
        <v>18</v>
      </c>
      <c r="M44">
        <f>S44+T44+Z44+AA44+AC44</f>
        <v>4</v>
      </c>
      <c r="O44">
        <v>2</v>
      </c>
      <c r="T44">
        <v>4</v>
      </c>
      <c r="AD44">
        <f>K44-M44</f>
        <v>18</v>
      </c>
      <c r="AK44">
        <v>1</v>
      </c>
    </row>
    <row r="45">
      <c r="B45" t="str">
        <v>Total: 1</v>
      </c>
      <c r="K45">
        <f>SUM(K44:K44)</f>
        <v>22</v>
      </c>
      <c r="L45">
        <f>SUM(L44:L44)</f>
        <v>18</v>
      </c>
      <c r="AD45">
        <f>SUM(AD44:AD44)</f>
        <v>18</v>
      </c>
    </row>
    <row r="46">
      <c r="B46" t="str">
        <v>ADMINISTRASI</v>
      </c>
    </row>
    <row r="47">
      <c r="B47" t="str">
        <v>Rahma Tri N S.IKom.</v>
      </c>
      <c r="G47">
        <v>867</v>
      </c>
      <c r="K47">
        <v>22</v>
      </c>
      <c r="L47">
        <f>K47-M47</f>
        <v>21</v>
      </c>
      <c r="M47">
        <f>S47+T47+Z47+AA47+AC47</f>
        <v>1</v>
      </c>
      <c r="AA47">
        <v>1</v>
      </c>
      <c r="AD47">
        <f>K47-M47</f>
        <v>21</v>
      </c>
      <c r="AK47">
        <v>1</v>
      </c>
    </row>
    <row r="48">
      <c r="B48" t="str">
        <v>Total: 1</v>
      </c>
      <c r="K48">
        <f>SUM(K47:K47)</f>
        <v>22</v>
      </c>
      <c r="L48">
        <f>SUM(L47:L47)</f>
        <v>21</v>
      </c>
      <c r="AD48">
        <f>SUM(AD47:AD47)</f>
        <v>21</v>
      </c>
    </row>
    <row r="49">
      <c r="B49" t="str">
        <v>DOSEN</v>
      </c>
    </row>
    <row r="50">
      <c r="B50" t="str">
        <v>Viola Dwi Putri Syarif, S.Hum., M.IP.</v>
      </c>
      <c r="G50">
        <v>870</v>
      </c>
      <c r="K50">
        <v>22</v>
      </c>
      <c r="L50">
        <f>K50-M50</f>
        <v>12</v>
      </c>
      <c r="M50">
        <f>S50+T50+Z50+AA50+AC50</f>
        <v>10</v>
      </c>
      <c r="R50">
        <v>1</v>
      </c>
      <c r="T50">
        <v>10</v>
      </c>
      <c r="AD50">
        <f>K50-M50</f>
        <v>12</v>
      </c>
      <c r="AK50">
        <v>1</v>
      </c>
    </row>
    <row r="51" xml:space="preserve">
      <c r="B51" t="str" xml:space="preserve">
        <v xml:space="preserve">Pratiwi Anindita,
M.Hum</v>
      </c>
      <c r="G51">
        <v>873</v>
      </c>
      <c r="K51">
        <v>22</v>
      </c>
      <c r="L51">
        <f>K51-M51</f>
        <v>20</v>
      </c>
      <c r="M51">
        <f>S51+T51+Z51+AA51+AC51</f>
        <v>2</v>
      </c>
      <c r="Z51">
        <v>2</v>
      </c>
      <c r="AD51">
        <f>K51-M51</f>
        <v>20</v>
      </c>
      <c r="AK51">
        <v>1</v>
      </c>
    </row>
    <row r="52" xml:space="preserve">
      <c r="B52" t="str" xml:space="preserve">
        <v xml:space="preserve">Dr. Seno Wibowo,
M.H. M.Hum</v>
      </c>
      <c r="G52">
        <v>873</v>
      </c>
      <c r="K52">
        <v>22</v>
      </c>
      <c r="L52">
        <f>K52-M52</f>
        <v>15</v>
      </c>
      <c r="M52">
        <f>S52+T52+Z52+AA52+AC52</f>
        <v>7</v>
      </c>
      <c r="O52">
        <v>1</v>
      </c>
      <c r="T52">
        <v>1</v>
      </c>
      <c r="Z52">
        <v>6</v>
      </c>
      <c r="AD52">
        <f>K52-M52</f>
        <v>15</v>
      </c>
      <c r="AK52">
        <v>1</v>
      </c>
    </row>
    <row r="53">
      <c r="B53" t="str">
        <v>Bambang Agus, M.A.P</v>
      </c>
      <c r="G53">
        <v>892</v>
      </c>
      <c r="K53">
        <v>22</v>
      </c>
      <c r="L53">
        <f>K53-M53</f>
        <v>22</v>
      </c>
      <c r="M53">
        <f>S53+T53+Z53+AA53+AC53</f>
        <v>0</v>
      </c>
      <c r="AD53">
        <f>K53-M53</f>
        <v>22</v>
      </c>
      <c r="AK53">
        <v>1</v>
      </c>
    </row>
    <row r="54">
      <c r="B54" t="str">
        <v>Majidah</v>
      </c>
      <c r="G54">
        <v>928</v>
      </c>
      <c r="K54">
        <v>22</v>
      </c>
      <c r="L54">
        <f>K54-M54</f>
        <v>12</v>
      </c>
      <c r="M54">
        <f>S54+T54+Z54+AA54+AC54</f>
        <v>10</v>
      </c>
      <c r="T54">
        <v>10</v>
      </c>
      <c r="AD54">
        <f>K54-M54</f>
        <v>12</v>
      </c>
      <c r="AK54">
        <v>1</v>
      </c>
    </row>
    <row r="55">
      <c r="B55" t="str">
        <v>Nadia Nurani Isfarin, LL.M.</v>
      </c>
      <c r="G55">
        <v>1148</v>
      </c>
      <c r="K55">
        <v>22</v>
      </c>
      <c r="L55">
        <f>K55-M55</f>
        <v>0</v>
      </c>
      <c r="M55">
        <v>22</v>
      </c>
      <c r="AD55">
        <f>K55-M55</f>
        <v>0</v>
      </c>
      <c r="AF55" t="str">
        <v>Tugas Belajar</v>
      </c>
      <c r="AK55">
        <v>1</v>
      </c>
    </row>
    <row r="56">
      <c r="B56" t="str">
        <v>Bahir Mukhammad, S.H., M.H.</v>
      </c>
      <c r="G56">
        <v>1159</v>
      </c>
      <c r="K56">
        <v>22</v>
      </c>
      <c r="L56">
        <f>K56-M56</f>
        <v>12</v>
      </c>
      <c r="M56">
        <f>S56+T56+Z56+AA56+AC56</f>
        <v>10</v>
      </c>
      <c r="T56">
        <v>8</v>
      </c>
      <c r="Z56">
        <v>2</v>
      </c>
      <c r="AD56">
        <f>K56-M56</f>
        <v>12</v>
      </c>
      <c r="AK56">
        <v>1</v>
      </c>
    </row>
    <row r="57">
      <c r="B57" t="str">
        <v>Total: 7</v>
      </c>
      <c r="K57">
        <f>SUM(K50:K56)</f>
        <v>154</v>
      </c>
      <c r="L57">
        <f>SUM(L50:L56)</f>
        <v>93</v>
      </c>
      <c r="AD57">
        <f>SUM(AD50:AD56)</f>
        <v>93</v>
      </c>
    </row>
    <row r="58">
      <c r="B58" t="str">
        <v>ADMINISTRASI</v>
      </c>
    </row>
    <row r="59" xml:space="preserve">
      <c r="B59" t="str" xml:space="preserve">
        <v xml:space="preserve">Azrul Reza Rifqi A,
S.E.</v>
      </c>
      <c r="G59">
        <v>1193</v>
      </c>
      <c r="K59">
        <v>22</v>
      </c>
      <c r="L59">
        <f>K59-M59</f>
        <v>21</v>
      </c>
      <c r="M59">
        <f>S59+T59+Z59+AA59+AC59</f>
        <v>1</v>
      </c>
      <c r="T59">
        <v>1</v>
      </c>
      <c r="AD59">
        <f>K59-M59</f>
        <v>21</v>
      </c>
      <c r="AK59">
        <v>1</v>
      </c>
    </row>
    <row r="60" xml:space="preserve">
      <c r="B60" t="str" xml:space="preserve">
        <v xml:space="preserve">Gilang Munggaran,
S.E.</v>
      </c>
      <c r="G60">
        <v>1194</v>
      </c>
      <c r="K60">
        <v>22</v>
      </c>
      <c r="L60">
        <f>K60-M60</f>
        <v>13</v>
      </c>
      <c r="M60">
        <f>S60+T60+Z60+AA60+AC60</f>
        <v>9</v>
      </c>
      <c r="T60">
        <v>4</v>
      </c>
      <c r="AA60">
        <v>5</v>
      </c>
      <c r="AD60">
        <f>K60-M60</f>
        <v>13</v>
      </c>
      <c r="AK60">
        <v>1</v>
      </c>
    </row>
    <row r="61">
      <c r="B61" t="str">
        <v>Total: 2</v>
      </c>
      <c r="K61">
        <f>SUM(K59:K60)</f>
        <v>44</v>
      </c>
      <c r="L61">
        <f>SUM(L59:L60)</f>
        <v>34</v>
      </c>
      <c r="AD61">
        <f>SUM(AD59:AD60)</f>
        <v>34</v>
      </c>
    </row>
    <row r="62">
      <c r="B62" t="str">
        <v>DOSEN</v>
      </c>
    </row>
    <row r="63">
      <c r="B63" t="str">
        <v>DANIEL PASARIBU,S.Pd</v>
      </c>
      <c r="G63">
        <v>1247</v>
      </c>
      <c r="K63">
        <v>22</v>
      </c>
      <c r="L63">
        <f>K63-M63</f>
        <v>7</v>
      </c>
      <c r="M63">
        <f>S63+T63+Z63+AA63+AC63</f>
        <v>15</v>
      </c>
      <c r="T63">
        <v>15</v>
      </c>
      <c r="AD63">
        <f>K63-M63</f>
        <v>7</v>
      </c>
      <c r="AK63">
        <v>1</v>
      </c>
    </row>
    <row r="64">
      <c r="B64" t="str">
        <v>Syafiqoh  S.E.Sy., M.A.</v>
      </c>
      <c r="G64">
        <v>1249</v>
      </c>
      <c r="K64">
        <v>22</v>
      </c>
      <c r="L64">
        <f>K64-M64</f>
        <v>11</v>
      </c>
      <c r="M64">
        <f>S64+T64+Z64+AA64+AC64</f>
        <v>11</v>
      </c>
      <c r="T64">
        <v>9</v>
      </c>
      <c r="AA64">
        <v>2</v>
      </c>
      <c r="AD64">
        <f>K64-M64</f>
        <v>11</v>
      </c>
      <c r="AK64">
        <v>1</v>
      </c>
    </row>
    <row r="65">
      <c r="B65" t="str">
        <v>Nur Hayati, S.Pd. M.A</v>
      </c>
      <c r="G65">
        <v>1250</v>
      </c>
      <c r="K65">
        <v>22</v>
      </c>
      <c r="L65">
        <f>K65-M65</f>
        <v>21</v>
      </c>
      <c r="M65">
        <f>S65+T65+Z65+AA65+AC65</f>
        <v>1</v>
      </c>
      <c r="T65">
        <v>1</v>
      </c>
      <c r="AD65">
        <f>K65-M65</f>
        <v>21</v>
      </c>
      <c r="AK65">
        <v>1</v>
      </c>
    </row>
    <row r="66" xml:space="preserve">
      <c r="B66" t="str" xml:space="preserve">
        <v xml:space="preserve">Vica Ananta  S.Pd,
M.A.</v>
      </c>
      <c r="G66">
        <v>1251</v>
      </c>
      <c r="K66">
        <v>22</v>
      </c>
      <c r="L66">
        <f>K66-M66</f>
        <v>14</v>
      </c>
      <c r="M66">
        <f>S66+T66+Z66+AA66+AC66</f>
        <v>8</v>
      </c>
      <c r="T66">
        <v>8</v>
      </c>
      <c r="AD66">
        <f>K66-M66</f>
        <v>14</v>
      </c>
      <c r="AK66">
        <v>1</v>
      </c>
    </row>
    <row r="67">
      <c r="B67" t="str">
        <v>Madiha D.C  S.H., LL.M.</v>
      </c>
      <c r="G67">
        <v>1252</v>
      </c>
      <c r="K67">
        <v>22</v>
      </c>
      <c r="L67">
        <f>K67-M67</f>
        <v>22</v>
      </c>
      <c r="M67">
        <f>S67+T67+Z67+AA67+AC67</f>
        <v>0</v>
      </c>
      <c r="AD67">
        <f>K67-M67</f>
        <v>22</v>
      </c>
      <c r="AK67">
        <v>1</v>
      </c>
    </row>
    <row r="68">
      <c r="B68" t="str">
        <v>Isma Dwi Fiani S.I.Kom., M.Si.</v>
      </c>
      <c r="G68">
        <v>1253</v>
      </c>
      <c r="K68">
        <v>22</v>
      </c>
      <c r="L68">
        <f>K68-M68</f>
        <v>14</v>
      </c>
      <c r="M68">
        <f>S68+T68+Z68+AA68+AC68</f>
        <v>8</v>
      </c>
      <c r="R68">
        <v>1</v>
      </c>
      <c r="T68">
        <v>8</v>
      </c>
      <c r="AD68">
        <f>K68-M68</f>
        <v>14</v>
      </c>
      <c r="AK68">
        <v>1</v>
      </c>
    </row>
    <row r="69" xml:space="preserve">
      <c r="B69" t="str" xml:space="preserve">
        <v xml:space="preserve">Dedy Juniadi, S.Kom,
M.A</v>
      </c>
      <c r="G69">
        <v>1255</v>
      </c>
      <c r="K69">
        <v>22</v>
      </c>
      <c r="L69">
        <f>K69-M69</f>
        <v>20</v>
      </c>
      <c r="M69">
        <f>S69+T69+Z69+AA69+AC69</f>
        <v>2</v>
      </c>
      <c r="T69">
        <v>2</v>
      </c>
      <c r="AD69">
        <f>K69-M69</f>
        <v>20</v>
      </c>
      <c r="AK69">
        <v>1</v>
      </c>
    </row>
    <row r="70">
      <c r="B70" t="str">
        <v>Total: 7</v>
      </c>
      <c r="K70">
        <f>SUM(K63:K69)</f>
        <v>154</v>
      </c>
      <c r="L70">
        <f>SUM(L63:L69)</f>
        <v>109</v>
      </c>
      <c r="AD70">
        <f>SUM(AD63:AD69)</f>
        <v>109</v>
      </c>
    </row>
    <row r="71">
      <c r="B71" t="str">
        <v>ADMINISTRASI</v>
      </c>
    </row>
    <row r="72" xml:space="preserve">
      <c r="B72" t="str" xml:space="preserve">
        <v xml:space="preserve">M Yusuf Wibisana,
S.Kom</v>
      </c>
      <c r="G72">
        <v>1280</v>
      </c>
      <c r="K72">
        <v>22</v>
      </c>
      <c r="L72">
        <f>K72-M72</f>
        <v>14</v>
      </c>
      <c r="M72">
        <f>S72+T72+Z72+AA72+AC72</f>
        <v>8</v>
      </c>
      <c r="T72">
        <v>8</v>
      </c>
      <c r="AD72">
        <f>K72-M72</f>
        <v>14</v>
      </c>
      <c r="AK72">
        <v>1</v>
      </c>
    </row>
    <row r="73">
      <c r="B73" t="str">
        <v>Total: 1</v>
      </c>
      <c r="K73">
        <f>SUM(K72:K72)</f>
        <v>22</v>
      </c>
      <c r="L73">
        <f>SUM(L72:L72)</f>
        <v>14</v>
      </c>
      <c r="AD73">
        <f>SUM(AD72:AD72)</f>
        <v>14</v>
      </c>
    </row>
    <row r="74">
      <c r="B74" t="str">
        <v>DOSEN</v>
      </c>
    </row>
    <row r="75">
      <c r="B75" t="str">
        <v>Sarah Fadilla, M.A.B</v>
      </c>
      <c r="G75">
        <v>1292</v>
      </c>
      <c r="K75">
        <v>22</v>
      </c>
      <c r="L75">
        <f>K75-M75</f>
        <v>13</v>
      </c>
      <c r="M75">
        <f>S75+T75+Z75+AA75+AC75</f>
        <v>9</v>
      </c>
      <c r="T75">
        <v>4</v>
      </c>
      <c r="Z75">
        <v>2</v>
      </c>
      <c r="AA75">
        <v>3</v>
      </c>
      <c r="AD75">
        <f>K75-M75</f>
        <v>13</v>
      </c>
      <c r="AK75">
        <v>1</v>
      </c>
    </row>
    <row r="76" xml:space="preserve">
      <c r="B76" t="str" xml:space="preserve">
        <v xml:space="preserve">Rachmawati W 
M.I.Kom.</v>
      </c>
      <c r="G76">
        <v>1298</v>
      </c>
      <c r="K76">
        <v>22</v>
      </c>
      <c r="L76">
        <f>K76-M76</f>
        <v>21</v>
      </c>
      <c r="M76">
        <f>S76+T76+Z76+AA76+AC76</f>
        <v>1</v>
      </c>
      <c r="O76">
        <v>1</v>
      </c>
      <c r="T76">
        <v>1</v>
      </c>
      <c r="AD76">
        <f>K76-M76</f>
        <v>21</v>
      </c>
      <c r="AK76">
        <v>1</v>
      </c>
    </row>
    <row r="77" xml:space="preserve">
      <c r="B77" t="str" xml:space="preserve">
        <v xml:space="preserve">Widiyanto, S.Pd.,
M.Kom.</v>
      </c>
      <c r="G77">
        <v>1299</v>
      </c>
      <c r="K77">
        <v>22</v>
      </c>
      <c r="L77">
        <f>K77-M77</f>
        <v>20</v>
      </c>
      <c r="M77">
        <f>S77+T77+Z77+AA77+AC77</f>
        <v>2</v>
      </c>
      <c r="T77">
        <v>2</v>
      </c>
      <c r="AD77">
        <f>K77-M77</f>
        <v>20</v>
      </c>
      <c r="AK77">
        <v>1</v>
      </c>
    </row>
    <row r="78">
      <c r="B78" t="str">
        <v>Total: 3</v>
      </c>
      <c r="K78">
        <f>SUM(K75:K77)</f>
        <v>66</v>
      </c>
      <c r="L78">
        <f>SUM(L75:L77)</f>
        <v>54</v>
      </c>
      <c r="AD78">
        <f>SUM(AD75:AD77)</f>
        <v>54</v>
      </c>
    </row>
    <row r="79">
      <c r="B79" t="str">
        <v>ADMINISTRASI</v>
      </c>
    </row>
    <row r="80">
      <c r="B80" t="str">
        <v>Muhamad Lazuardi, S.Kom.</v>
      </c>
      <c r="G80">
        <v>1339</v>
      </c>
      <c r="K80">
        <v>22</v>
      </c>
      <c r="L80">
        <f>K80-M80</f>
        <v>20</v>
      </c>
      <c r="M80">
        <f>S80+T80+Z80+AA80+AC80</f>
        <v>2</v>
      </c>
      <c r="R80">
        <v>1</v>
      </c>
      <c r="T80">
        <v>1</v>
      </c>
      <c r="AA80">
        <v>1</v>
      </c>
      <c r="AD80">
        <f>K80-M80</f>
        <v>20</v>
      </c>
      <c r="AK80">
        <v>1</v>
      </c>
    </row>
    <row r="81">
      <c r="B81" t="str">
        <v>Rahmat Hidayat, S.E.</v>
      </c>
      <c r="G81">
        <v>1340</v>
      </c>
      <c r="K81">
        <v>22</v>
      </c>
      <c r="L81">
        <f>K81-M81</f>
        <v>0</v>
      </c>
      <c r="M81">
        <v>22</v>
      </c>
      <c r="AD81">
        <f>K81-M81</f>
        <v>0</v>
      </c>
      <c r="AF81" t="str">
        <v>Tugas Belajar</v>
      </c>
      <c r="AK81">
        <v>1</v>
      </c>
    </row>
    <row r="82">
      <c r="B82" t="str">
        <v>Rani Dwi S, S.A.P.</v>
      </c>
      <c r="G82">
        <v>1341</v>
      </c>
      <c r="K82">
        <v>22</v>
      </c>
      <c r="L82">
        <f>K82-M82</f>
        <v>22</v>
      </c>
      <c r="M82">
        <f>S82+T82+Z82+AA82+AC82</f>
        <v>0</v>
      </c>
      <c r="O82">
        <v>2</v>
      </c>
      <c r="AD82">
        <f>K82-M82</f>
        <v>22</v>
      </c>
      <c r="AK82">
        <v>1</v>
      </c>
    </row>
    <row r="83">
      <c r="B83" t="str">
        <v>Total: 3</v>
      </c>
      <c r="K83">
        <f>SUM(K80:K82)</f>
        <v>66</v>
      </c>
      <c r="L83">
        <f>SUM(L80:L82)</f>
        <v>42</v>
      </c>
      <c r="AD83">
        <f>SUM(AD80:AD82)</f>
        <v>42</v>
      </c>
    </row>
    <row r="84">
      <c r="B84" t="str">
        <v>DOSEN</v>
      </c>
    </row>
    <row r="85">
      <c r="B85" t="str">
        <v>PTNPNS</v>
      </c>
    </row>
    <row r="86" xml:space="preserve">
      <c r="B86" t="str" xml:space="preserve">
        <v xml:space="preserve">Sapto Setyo  S.IP.,
M.A.</v>
      </c>
      <c r="G86">
        <v>1415</v>
      </c>
      <c r="K86">
        <v>22</v>
      </c>
      <c r="L86">
        <f>K86-M86</f>
        <v>17</v>
      </c>
      <c r="M86">
        <f>S86+T86+Z86+AA86+AC86</f>
        <v>5</v>
      </c>
      <c r="T86">
        <v>4</v>
      </c>
      <c r="AA86">
        <v>1</v>
      </c>
      <c r="AD86">
        <f>K86-M86</f>
        <v>17</v>
      </c>
      <c r="AK86">
        <v>1</v>
      </c>
    </row>
    <row r="87" xml:space="preserve">
      <c r="B87" t="str" xml:space="preserve">
        <v xml:space="preserve">Dina Fadiyah, S.IP.,
M.A</v>
      </c>
      <c r="G87">
        <v>1416</v>
      </c>
      <c r="K87">
        <v>22</v>
      </c>
      <c r="L87">
        <f>K87-M87</f>
        <v>20</v>
      </c>
      <c r="M87">
        <f>S87+T87+Z87+AA87+AC87</f>
        <v>2</v>
      </c>
      <c r="T87">
        <v>2</v>
      </c>
      <c r="AD87">
        <f>K87-M87</f>
        <v>20</v>
      </c>
      <c r="AK87">
        <v>1</v>
      </c>
    </row>
    <row r="88" xml:space="preserve">
      <c r="B88" t="str" xml:space="preserve">
        <v xml:space="preserve">Dr. Tora Akadira, M.Si.
M.A</v>
      </c>
      <c r="G88">
        <v>1425</v>
      </c>
      <c r="K88">
        <v>22</v>
      </c>
      <c r="L88">
        <f>K88-M88</f>
        <v>16</v>
      </c>
      <c r="M88">
        <f>S88+T88+Z88+AA88+AC88</f>
        <v>6</v>
      </c>
      <c r="T88">
        <v>5</v>
      </c>
      <c r="AA88">
        <v>1</v>
      </c>
      <c r="AD88">
        <f>K88-M88</f>
        <v>16</v>
      </c>
      <c r="AK88">
        <v>1</v>
      </c>
    </row>
    <row r="89">
      <c r="B89" t="str">
        <v>Dr. Faizal Madya, S.IP., M.Si.</v>
      </c>
      <c r="G89">
        <v>1439</v>
      </c>
      <c r="K89">
        <v>22</v>
      </c>
      <c r="L89">
        <f>K89-M89</f>
        <v>9</v>
      </c>
      <c r="M89">
        <f>S89+T89+Z89+AA89+AC89</f>
        <v>13</v>
      </c>
      <c r="T89">
        <v>13</v>
      </c>
      <c r="AD89">
        <f>K89-M89</f>
        <v>9</v>
      </c>
      <c r="AK89">
        <v>1</v>
      </c>
    </row>
    <row r="90">
      <c r="B90" t="str">
        <v>Total: 4</v>
      </c>
      <c r="K90">
        <f>SUM(K86:K89)</f>
        <v>88</v>
      </c>
      <c r="L90">
        <f>SUM(L86:L89)</f>
        <v>62</v>
      </c>
      <c r="AD90">
        <f>SUM(AD86:AD89)</f>
        <v>62</v>
      </c>
    </row>
    <row r="91">
      <c r="B91" t="str">
        <v>ADMINISTRASI</v>
      </c>
    </row>
    <row r="92">
      <c r="B92" t="str">
        <v>Viku Paoki, S.Sos</v>
      </c>
      <c r="G92">
        <v>1491</v>
      </c>
      <c r="K92">
        <v>22</v>
      </c>
      <c r="L92">
        <f>K92-M92</f>
        <v>22</v>
      </c>
      <c r="M92">
        <f>S92+T92+Z92+AA92+AC92</f>
        <v>0</v>
      </c>
      <c r="AD92">
        <f>K92-M92</f>
        <v>22</v>
      </c>
      <c r="AK92">
        <v>1</v>
      </c>
    </row>
    <row r="93">
      <c r="B93" t="str">
        <v>Total: 1</v>
      </c>
      <c r="K93">
        <f>SUM(K92:K92)</f>
        <v>22</v>
      </c>
      <c r="L93">
        <f>SUM(L92:L92)</f>
        <v>22</v>
      </c>
      <c r="AD93">
        <f>SUM(AD92:AD92)</f>
        <v>22</v>
      </c>
    </row>
    <row r="94">
      <c r="B94" t="str">
        <v>DOSEN</v>
      </c>
    </row>
    <row r="95" xml:space="preserve">
      <c r="B95" t="str" xml:space="preserve">
        <v xml:space="preserve">Amud Sunarya S.Pd.,
M.Si</v>
      </c>
      <c r="G95">
        <v>1569</v>
      </c>
      <c r="K95">
        <v>22</v>
      </c>
      <c r="L95">
        <f>K95-M95</f>
        <v>22</v>
      </c>
      <c r="M95">
        <f>S95+T95+Z95+AA95+AC95</f>
        <v>0</v>
      </c>
      <c r="R95">
        <v>1</v>
      </c>
      <c r="AD95">
        <f>K95-M95</f>
        <v>22</v>
      </c>
      <c r="AK95">
        <v>1</v>
      </c>
    </row>
    <row r="96" xml:space="preserve">
      <c r="B96" t="str" xml:space="preserve">
        <v xml:space="preserve">Nur Ambia Arma
M.A.P.</v>
      </c>
      <c r="G96">
        <v>1571</v>
      </c>
      <c r="K96">
        <v>22</v>
      </c>
      <c r="L96">
        <f>K96-M96</f>
        <v>15</v>
      </c>
      <c r="M96">
        <f>S96+T96+Z96+AA96+AC96</f>
        <v>7</v>
      </c>
      <c r="T96">
        <v>4</v>
      </c>
      <c r="AA96">
        <v>3</v>
      </c>
      <c r="AD96">
        <f>K96-M96</f>
        <v>15</v>
      </c>
      <c r="AK96">
        <v>1</v>
      </c>
    </row>
    <row r="97">
      <c r="B97" t="str">
        <v>Aji Fajar Suryo M. A.</v>
      </c>
      <c r="G97">
        <v>1572</v>
      </c>
      <c r="K97">
        <v>22</v>
      </c>
      <c r="L97">
        <f>K97-M97</f>
        <v>17</v>
      </c>
      <c r="M97">
        <f>S97+T97+Z97+AA97+AC97</f>
        <v>5</v>
      </c>
      <c r="P97">
        <v>1</v>
      </c>
      <c r="T97">
        <v>3</v>
      </c>
      <c r="AA97">
        <v>2</v>
      </c>
      <c r="AD97">
        <f>K97-M97</f>
        <v>17</v>
      </c>
      <c r="AK97">
        <v>1</v>
      </c>
    </row>
    <row r="98" xml:space="preserve">
      <c r="B98" t="str" xml:space="preserve">
        <v xml:space="preserve">Enggar M  S.Pd.,
M.Hum.</v>
      </c>
      <c r="G98">
        <v>1583</v>
      </c>
      <c r="K98">
        <v>22</v>
      </c>
      <c r="L98">
        <f>K98-M98</f>
        <v>20</v>
      </c>
      <c r="M98">
        <f>S98+T98+Z98+AA98+AC98</f>
        <v>2</v>
      </c>
      <c r="T98">
        <v>2</v>
      </c>
      <c r="AD98">
        <f>K98-M98</f>
        <v>20</v>
      </c>
      <c r="AK98">
        <v>1</v>
      </c>
    </row>
    <row r="99">
      <c r="B99" t="str">
        <v>Ardik Ardianto, M.A.</v>
      </c>
      <c r="G99">
        <v>1584</v>
      </c>
      <c r="K99">
        <v>22</v>
      </c>
      <c r="L99">
        <f>K99-M99</f>
        <v>21</v>
      </c>
      <c r="M99">
        <f>S99+T99+Z99+AA99+AC99</f>
        <v>1</v>
      </c>
      <c r="T99">
        <v>1</v>
      </c>
      <c r="AD99">
        <f>K99-M99</f>
        <v>21</v>
      </c>
      <c r="AK99">
        <v>1</v>
      </c>
    </row>
    <row r="100">
      <c r="B100" t="str">
        <v>Sri Pujiati, S.Pd., M.So</v>
      </c>
      <c r="G100">
        <v>1593</v>
      </c>
      <c r="K100">
        <v>22</v>
      </c>
      <c r="L100">
        <f>K100-M100</f>
        <v>19</v>
      </c>
      <c r="M100">
        <f>S100+T100+Z100+AA100+AC100</f>
        <v>3</v>
      </c>
      <c r="T100">
        <v>2</v>
      </c>
      <c r="AA100">
        <v>1</v>
      </c>
      <c r="AD100">
        <f>K100-M100</f>
        <v>19</v>
      </c>
      <c r="AK100">
        <v>1</v>
      </c>
    </row>
    <row r="101">
      <c r="B101" t="str">
        <v>Irla Yulia</v>
      </c>
      <c r="G101">
        <v>1596</v>
      </c>
      <c r="K101">
        <v>22</v>
      </c>
      <c r="L101">
        <f>K101-M101</f>
        <v>22</v>
      </c>
      <c r="M101">
        <f>S101+T101+Z101+AA101+AC101</f>
        <v>0</v>
      </c>
      <c r="AD101">
        <f>K101-M101</f>
        <v>22</v>
      </c>
      <c r="AK101">
        <v>1</v>
      </c>
    </row>
    <row r="102">
      <c r="B102" t="str">
        <v>Nurkhalila F, M.I.Kom.</v>
      </c>
      <c r="G102">
        <v>1596</v>
      </c>
      <c r="K102">
        <v>22</v>
      </c>
      <c r="L102">
        <f>K102-M102</f>
        <v>21</v>
      </c>
      <c r="M102">
        <f>S102+T102+Z102+AA102+AC102</f>
        <v>1</v>
      </c>
      <c r="O102">
        <v>1</v>
      </c>
      <c r="T102">
        <v>1</v>
      </c>
      <c r="AD102">
        <f>K102-M102</f>
        <v>21</v>
      </c>
      <c r="AK102">
        <v>1</v>
      </c>
    </row>
    <row r="103" xml:space="preserve">
      <c r="B103" t="str" xml:space="preserve">
        <v xml:space="preserve">Laras Ayu  S.I.P.,
M.Sos</v>
      </c>
      <c r="G103">
        <v>1600</v>
      </c>
      <c r="K103">
        <v>22</v>
      </c>
      <c r="L103">
        <f>K103-M103</f>
        <v>17</v>
      </c>
      <c r="M103">
        <f>S103+T103+Z103+AA103+AC103</f>
        <v>5</v>
      </c>
      <c r="T103">
        <v>4</v>
      </c>
      <c r="AA103">
        <v>1</v>
      </c>
      <c r="AD103">
        <f>K103-M103</f>
        <v>17</v>
      </c>
      <c r="AK103">
        <v>1</v>
      </c>
    </row>
    <row r="104">
      <c r="B104" t="str">
        <v>Total: 9</v>
      </c>
      <c r="K104">
        <f>SUM(K95:K103)</f>
        <v>198</v>
      </c>
      <c r="L104">
        <f>SUM(L95:L103)</f>
        <v>174</v>
      </c>
      <c r="AD104">
        <f>SUM(AD95:AD103)</f>
        <v>174</v>
      </c>
    </row>
    <row r="105">
      <c r="B105" t="str">
        <v>ADMINISTRASI</v>
      </c>
    </row>
    <row r="106">
      <c r="B106" t="str">
        <v>Destiana, S.A.B., M.A.B.</v>
      </c>
      <c r="G106">
        <v>1605</v>
      </c>
      <c r="K106">
        <v>22</v>
      </c>
      <c r="L106">
        <f>K106-M106</f>
        <v>9</v>
      </c>
      <c r="M106">
        <f>S106+T106+Z106+AA106+AC106</f>
        <v>13</v>
      </c>
      <c r="T106">
        <v>13</v>
      </c>
      <c r="AD106">
        <f>K106-M106</f>
        <v>9</v>
      </c>
      <c r="AK106">
        <v>1</v>
      </c>
    </row>
    <row r="107">
      <c r="B107" t="str">
        <v>Total: 1</v>
      </c>
      <c r="K107">
        <f>SUM(K106:K106)</f>
        <v>22</v>
      </c>
      <c r="L107">
        <f>SUM(L106:L106)</f>
        <v>9</v>
      </c>
      <c r="AD107">
        <f>SUM(AD106:AD106)</f>
        <v>9</v>
      </c>
    </row>
    <row r="108">
      <c r="B108" t="str">
        <v>DOSEN</v>
      </c>
    </row>
    <row r="109" xml:space="preserve">
      <c r="B109" t="str" xml:space="preserve">
        <v xml:space="preserve">Husna Putri
S.S.T.,M.B.A</v>
      </c>
      <c r="G109">
        <v>1606</v>
      </c>
      <c r="K109">
        <v>22</v>
      </c>
      <c r="L109">
        <f>K109-M109</f>
        <v>18</v>
      </c>
      <c r="M109">
        <f>S109+T109+Z109+AA109+AC109</f>
        <v>4</v>
      </c>
      <c r="T109">
        <v>1</v>
      </c>
      <c r="Z109">
        <v>3</v>
      </c>
      <c r="AD109">
        <f>K109-M109</f>
        <v>18</v>
      </c>
      <c r="AK109">
        <v>1</v>
      </c>
    </row>
    <row r="110">
      <c r="B110" t="str">
        <v>Meliza, S.H., M.H.</v>
      </c>
      <c r="G110">
        <v>1610</v>
      </c>
      <c r="K110">
        <v>22</v>
      </c>
      <c r="L110">
        <f>K110-M110</f>
        <v>15</v>
      </c>
      <c r="M110">
        <f>S110+T110+Z110+AA110+AC110</f>
        <v>7</v>
      </c>
      <c r="Z110">
        <v>2</v>
      </c>
      <c r="AA110">
        <v>5</v>
      </c>
      <c r="AD110">
        <f>K110-M110</f>
        <v>15</v>
      </c>
      <c r="AK110">
        <v>1</v>
      </c>
    </row>
    <row r="111">
      <c r="B111" t="str">
        <v>Hanif Hardianto, M.H.</v>
      </c>
      <c r="G111">
        <v>1611</v>
      </c>
      <c r="K111">
        <v>22</v>
      </c>
      <c r="L111">
        <f>K111-M111</f>
        <v>17</v>
      </c>
      <c r="M111">
        <f>S111+T111+Z111+AA111+AC111</f>
        <v>5</v>
      </c>
      <c r="T111">
        <v>4</v>
      </c>
      <c r="AA111">
        <v>1</v>
      </c>
      <c r="AD111">
        <f>K111-M111</f>
        <v>17</v>
      </c>
      <c r="AK111">
        <v>1</v>
      </c>
    </row>
    <row r="112">
      <c r="B112" t="str">
        <v>Abdurrahman Rahim Thaha</v>
      </c>
      <c r="G112">
        <v>1617</v>
      </c>
      <c r="K112">
        <v>22</v>
      </c>
      <c r="L112">
        <f>K112-M112</f>
        <v>15</v>
      </c>
      <c r="M112">
        <f>S112+T112+Z112+AA112+AC112</f>
        <v>7</v>
      </c>
      <c r="T112">
        <v>7</v>
      </c>
      <c r="AD112">
        <f>K112-M112</f>
        <v>15</v>
      </c>
      <c r="AK112">
        <v>1</v>
      </c>
    </row>
    <row r="113" xml:space="preserve">
      <c r="B113" t="str" xml:space="preserve">
        <v xml:space="preserve">Dwi Rahmawati,
S.E.M.AB</v>
      </c>
      <c r="G113">
        <v>1618</v>
      </c>
      <c r="K113">
        <v>22</v>
      </c>
      <c r="L113">
        <f>K113-M113</f>
        <v>0</v>
      </c>
      <c r="M113">
        <f>S113+T113+Z113+AA113+AC113</f>
        <v>22</v>
      </c>
      <c r="AA113">
        <v>22</v>
      </c>
      <c r="AD113">
        <f>K113-M113</f>
        <v>0</v>
      </c>
      <c r="AK113">
        <v>1</v>
      </c>
    </row>
    <row r="114" xml:space="preserve">
      <c r="B114" t="str" xml:space="preserve">
        <v xml:space="preserve">Drs. Wawan
Ruswanto M.Si</v>
      </c>
      <c r="G114">
        <v>1629</v>
      </c>
      <c r="K114">
        <v>22</v>
      </c>
      <c r="L114">
        <f>K114-M114</f>
        <v>19</v>
      </c>
      <c r="M114">
        <f>S114+T114+Z114+AA114+AC114</f>
        <v>3</v>
      </c>
      <c r="O114">
        <v>2</v>
      </c>
      <c r="T114">
        <v>3</v>
      </c>
      <c r="AD114">
        <f>K114-M114</f>
        <v>19</v>
      </c>
      <c r="AK114">
        <v>1</v>
      </c>
    </row>
    <row r="115">
      <c r="B115" t="str">
        <v>Dr. Eha Saleha,  M.Si.</v>
      </c>
      <c r="G115">
        <v>1633</v>
      </c>
      <c r="K115">
        <v>22</v>
      </c>
      <c r="L115">
        <f>K115-M115</f>
        <v>19</v>
      </c>
      <c r="M115">
        <f>S115+T115+Z115+AA115+AC115</f>
        <v>3</v>
      </c>
      <c r="T115">
        <v>3</v>
      </c>
      <c r="AD115">
        <f>K115-M115</f>
        <v>19</v>
      </c>
      <c r="AK115">
        <v>1</v>
      </c>
    </row>
    <row r="116">
      <c r="B116" t="str">
        <v>Vivi Indra Amelia, Nst.</v>
      </c>
      <c r="G116">
        <v>1648</v>
      </c>
      <c r="K116">
        <v>22</v>
      </c>
      <c r="L116">
        <f>K116-M116</f>
        <v>7</v>
      </c>
      <c r="M116">
        <f>S116+T116+Z116+AA116+AC116</f>
        <v>15</v>
      </c>
      <c r="T116">
        <v>15</v>
      </c>
      <c r="AD116">
        <f>K116-M116</f>
        <v>7</v>
      </c>
      <c r="AK116">
        <v>1</v>
      </c>
    </row>
    <row r="117">
      <c r="B117" t="str">
        <v>Dr. M. Jeffri Arlinandes Chandra, S.H., M.H.</v>
      </c>
      <c r="G117">
        <v>1662</v>
      </c>
      <c r="K117">
        <v>22</v>
      </c>
      <c r="L117">
        <f>K117-M117</f>
        <v>6</v>
      </c>
      <c r="M117">
        <f>S117+T117+Z117+AA117+AC117</f>
        <v>16</v>
      </c>
      <c r="O117">
        <v>4</v>
      </c>
      <c r="T117">
        <v>16</v>
      </c>
      <c r="AD117">
        <f>K117-M117</f>
        <v>6</v>
      </c>
      <c r="AK117">
        <v>1</v>
      </c>
    </row>
    <row r="118">
      <c r="B118" t="str">
        <v>Total: 9</v>
      </c>
      <c r="K118">
        <f>SUM(K109:K117)</f>
        <v>198</v>
      </c>
      <c r="L118">
        <f>SUM(L109:L117)</f>
        <v>116</v>
      </c>
      <c r="AD118">
        <f>SUM(AD109:AD117)</f>
        <v>116</v>
      </c>
    </row>
    <row r="119">
      <c r="B119" t="str">
        <v>ADMINISTRASI</v>
      </c>
    </row>
    <row r="120">
      <c r="B120" t="str">
        <v>Septin Tri F, S.M.</v>
      </c>
      <c r="G120">
        <v>1700</v>
      </c>
      <c r="K120">
        <v>22</v>
      </c>
      <c r="L120">
        <f>K120-M120</f>
        <v>22</v>
      </c>
      <c r="M120">
        <f>S120+T120+Z120+AA120+AC120</f>
        <v>0</v>
      </c>
      <c r="AD120">
        <f>K120-M120</f>
        <v>22</v>
      </c>
      <c r="AK120">
        <v>1</v>
      </c>
    </row>
    <row r="121" xml:space="preserve">
      <c r="B121" t="str" xml:space="preserve">
        <v xml:space="preserve">M Yossy Kusuma,
S.Kom.</v>
      </c>
      <c r="G121">
        <v>1701</v>
      </c>
      <c r="K121">
        <v>22</v>
      </c>
      <c r="L121">
        <f>K121-M121</f>
        <v>21</v>
      </c>
      <c r="M121">
        <f>S121+T121+Z121+AA121+AC121</f>
        <v>1</v>
      </c>
      <c r="T121">
        <v>1</v>
      </c>
      <c r="AD121">
        <f>K121-M121</f>
        <v>21</v>
      </c>
      <c r="AK121">
        <v>1</v>
      </c>
    </row>
    <row r="122" xml:space="preserve">
      <c r="B122" t="str" xml:space="preserve">
        <v xml:space="preserve">Annisa Tul Hasanah,
S.E</v>
      </c>
      <c r="G122">
        <v>1702</v>
      </c>
      <c r="K122">
        <v>22</v>
      </c>
      <c r="L122">
        <f>K122-M122</f>
        <v>17</v>
      </c>
      <c r="M122">
        <f>S122+T122+Z122+AA122+AC122</f>
        <v>5</v>
      </c>
      <c r="AA122">
        <v>5</v>
      </c>
      <c r="AD122">
        <f>K122-M122</f>
        <v>17</v>
      </c>
      <c r="AK122">
        <v>1</v>
      </c>
    </row>
    <row r="123">
      <c r="B123" t="str">
        <v>Deka Taufiq R ,S.E.</v>
      </c>
      <c r="G123">
        <v>1703</v>
      </c>
      <c r="K123">
        <v>22</v>
      </c>
      <c r="L123">
        <f>K123-M123</f>
        <v>22</v>
      </c>
      <c r="M123">
        <f>S123+T123+Z123+AA123+AC123</f>
        <v>0</v>
      </c>
      <c r="AD123">
        <f>K123-M123</f>
        <v>22</v>
      </c>
      <c r="AK123">
        <v>1</v>
      </c>
    </row>
    <row r="124">
      <c r="B124" t="str">
        <v>Eka Nurjanah, S.H.</v>
      </c>
      <c r="G124">
        <v>1704</v>
      </c>
      <c r="K124">
        <v>22</v>
      </c>
      <c r="L124">
        <f>K124-M124</f>
        <v>17</v>
      </c>
      <c r="M124">
        <f>S124+T124+Z124+AA124+AC124</f>
        <v>5</v>
      </c>
      <c r="T124">
        <v>4</v>
      </c>
      <c r="AA124">
        <v>1</v>
      </c>
      <c r="AD124">
        <f>K124-M124</f>
        <v>17</v>
      </c>
      <c r="AK124">
        <v>1</v>
      </c>
    </row>
    <row r="125">
      <c r="B125" t="str">
        <v>Karlia Zainul, S.Kom.I.</v>
      </c>
      <c r="G125">
        <v>1705</v>
      </c>
      <c r="K125">
        <v>22</v>
      </c>
      <c r="L125">
        <f>K125-M125</f>
        <v>21</v>
      </c>
      <c r="M125">
        <f>S125+T125+Z125+AA125+AC125</f>
        <v>1</v>
      </c>
      <c r="AA125">
        <v>1</v>
      </c>
      <c r="AD125">
        <f>K125-M125</f>
        <v>21</v>
      </c>
      <c r="AK125">
        <v>1</v>
      </c>
    </row>
    <row r="126" xml:space="preserve">
      <c r="B126" t="str" xml:space="preserve">
        <v xml:space="preserve">Lisa Dea Plasenta,
S.K.L</v>
      </c>
      <c r="G126">
        <v>1706</v>
      </c>
      <c r="K126">
        <v>22</v>
      </c>
      <c r="L126">
        <f>K126-M126</f>
        <v>21</v>
      </c>
      <c r="M126">
        <f>S126+T126+Z126+AA126+AC126</f>
        <v>1</v>
      </c>
      <c r="T126">
        <v>1</v>
      </c>
      <c r="AD126">
        <f>K126-M126</f>
        <v>21</v>
      </c>
      <c r="AK126">
        <v>1</v>
      </c>
    </row>
    <row r="127" xml:space="preserve">
      <c r="B127" t="str" xml:space="preserve">
        <v xml:space="preserve">Raden Roro Siti
Fatimah</v>
      </c>
      <c r="G127">
        <v>1707</v>
      </c>
      <c r="K127">
        <v>22</v>
      </c>
      <c r="L127">
        <f>K127-M127</f>
        <v>16</v>
      </c>
      <c r="M127">
        <f>S127+T127+Z127+AA127+AC127</f>
        <v>6</v>
      </c>
      <c r="T127">
        <v>1</v>
      </c>
      <c r="AA127">
        <v>5</v>
      </c>
      <c r="AD127">
        <f>K127-M127</f>
        <v>16</v>
      </c>
      <c r="AK127">
        <v>1</v>
      </c>
    </row>
    <row r="128">
      <c r="B128" t="str">
        <v>Total: 8</v>
      </c>
      <c r="K128">
        <f>SUM(K120:K127)</f>
        <v>176</v>
      </c>
      <c r="L128">
        <f>SUM(L120:L127)</f>
        <v>157</v>
      </c>
      <c r="AD128">
        <f>SUM(AD120:AD127)</f>
        <v>157</v>
      </c>
    </row>
    <row r="129">
      <c r="B129" t="str">
        <v>DOSEN</v>
      </c>
    </row>
    <row r="130" xml:space="preserve">
      <c r="B130" t="str" xml:space="preserve">
        <v xml:space="preserve">Bintang Parashteo,
M.H</v>
      </c>
      <c r="G130">
        <v>1726</v>
      </c>
      <c r="K130">
        <v>22</v>
      </c>
      <c r="L130">
        <f>K130-M130</f>
        <v>17</v>
      </c>
      <c r="M130">
        <f>S130+T130+Z130+AA130+AC130</f>
        <v>5</v>
      </c>
      <c r="T130">
        <v>5</v>
      </c>
      <c r="AD130">
        <f>K130-M130</f>
        <v>17</v>
      </c>
      <c r="AK130">
        <v>1</v>
      </c>
    </row>
    <row r="131" xml:space="preserve">
      <c r="B131" t="str" xml:space="preserve">
        <v xml:space="preserve">Aam Mariyamah,
M.Hum.</v>
      </c>
      <c r="G131">
        <v>1760</v>
      </c>
      <c r="K131">
        <v>22</v>
      </c>
      <c r="L131">
        <f>K131-M131</f>
        <v>22</v>
      </c>
      <c r="M131">
        <f>S131+T131+Z131+AA131+AC131</f>
        <v>0</v>
      </c>
      <c r="AD131">
        <f>K131-M131</f>
        <v>22</v>
      </c>
      <c r="AK131">
        <v>1</v>
      </c>
    </row>
    <row r="132" xml:space="preserve">
      <c r="B132" t="str" xml:space="preserve">
        <v xml:space="preserve">Amelia Yeza
Pradhipta, S.Hum., M.Si.</v>
      </c>
      <c r="G132">
        <v>1766</v>
      </c>
      <c r="K132">
        <v>22</v>
      </c>
      <c r="L132">
        <f>K132-M132</f>
        <v>13</v>
      </c>
      <c r="M132">
        <f>S132+T132+Z132+AA132+AC132</f>
        <v>9</v>
      </c>
      <c r="T132">
        <v>9</v>
      </c>
      <c r="AD132">
        <f>K132-M132</f>
        <v>13</v>
      </c>
      <c r="AK132">
        <v>1</v>
      </c>
    </row>
    <row r="133">
      <c r="B133" t="str">
        <v>Evi Zakiyah, S.IIP., M.Hum.</v>
      </c>
      <c r="G133">
        <v>1793</v>
      </c>
      <c r="K133">
        <v>22</v>
      </c>
      <c r="L133">
        <f>K133-M133</f>
        <v>11</v>
      </c>
      <c r="M133">
        <f>S133+T133+Z133+AA133+AC133</f>
        <v>11</v>
      </c>
      <c r="T133">
        <v>11</v>
      </c>
      <c r="AD133">
        <f>K133-M133</f>
        <v>11</v>
      </c>
      <c r="AK133">
        <v>1</v>
      </c>
    </row>
    <row r="134">
      <c r="B134" t="str">
        <v>Fadri Ari Sandi, S.A.N., M.P.A.</v>
      </c>
      <c r="G134">
        <v>1794</v>
      </c>
      <c r="K134">
        <v>22</v>
      </c>
      <c r="L134">
        <f>K134-M134</f>
        <v>20</v>
      </c>
      <c r="M134">
        <f>S134+T134+Z134+AA134+AC134</f>
        <v>2</v>
      </c>
      <c r="Z134">
        <v>2</v>
      </c>
      <c r="AD134">
        <f>K134-M134</f>
        <v>20</v>
      </c>
      <c r="AK134">
        <v>1</v>
      </c>
    </row>
    <row r="135" xml:space="preserve">
      <c r="B135" t="str" xml:space="preserve">
        <v xml:space="preserve">Grace Prima Apriani
Sihombing, M.Sos.</v>
      </c>
      <c r="G135">
        <v>1802</v>
      </c>
      <c r="K135">
        <v>22</v>
      </c>
      <c r="L135">
        <f>K135-M135</f>
        <v>21</v>
      </c>
      <c r="M135">
        <f>S135+T135+Z135+AA135+AC135</f>
        <v>1</v>
      </c>
      <c r="AA135">
        <v>1</v>
      </c>
      <c r="AD135">
        <f>K135-M135</f>
        <v>21</v>
      </c>
      <c r="AK135">
        <v>1</v>
      </c>
    </row>
    <row r="136" xml:space="preserve">
      <c r="B136" t="str" xml:space="preserve">
        <v xml:space="preserve">Helni Sadid Parassa,
S.Ip., M.Si.</v>
      </c>
      <c r="G136">
        <v>1804</v>
      </c>
      <c r="K136">
        <v>22</v>
      </c>
      <c r="L136">
        <f>K136-M136</f>
        <v>19</v>
      </c>
      <c r="M136">
        <f>S136+T136+Z136+AA136+AC136</f>
        <v>3</v>
      </c>
      <c r="T136">
        <v>1</v>
      </c>
      <c r="Z136">
        <v>1</v>
      </c>
      <c r="AA136">
        <v>1</v>
      </c>
      <c r="AD136">
        <f>K136-M136</f>
        <v>19</v>
      </c>
      <c r="AK136">
        <v>1</v>
      </c>
    </row>
    <row r="137" xml:space="preserve">
      <c r="B137" t="str" xml:space="preserve">
        <v xml:space="preserve">Husnaeni Fauziah
Amani, M.Si.</v>
      </c>
      <c r="G137">
        <v>1807</v>
      </c>
      <c r="K137">
        <v>22</v>
      </c>
      <c r="L137">
        <f>K137-M137</f>
        <v>19</v>
      </c>
      <c r="M137">
        <f>S137+T137+Z137+AA137+AC137</f>
        <v>3</v>
      </c>
      <c r="O137">
        <v>3</v>
      </c>
      <c r="R137">
        <v>1</v>
      </c>
      <c r="T137">
        <v>3</v>
      </c>
      <c r="AD137">
        <f>K137-M137</f>
        <v>19</v>
      </c>
      <c r="AK137">
        <v>1</v>
      </c>
    </row>
    <row r="138">
      <c r="B138" t="str">
        <v>Rafika Afriyanti,  S.Sos., M.P.A.</v>
      </c>
      <c r="G138">
        <v>1846</v>
      </c>
      <c r="K138">
        <v>22</v>
      </c>
      <c r="L138">
        <f>K138-M138</f>
        <v>22</v>
      </c>
      <c r="M138">
        <f>S138+T138+Z138+AA138+AC138</f>
        <v>0</v>
      </c>
      <c r="AD138">
        <f>K138-M138</f>
        <v>22</v>
      </c>
      <c r="AK138">
        <v>1</v>
      </c>
    </row>
    <row r="139" xml:space="preserve">
      <c r="B139" t="str" xml:space="preserve">
        <v xml:space="preserve">Rezki Aguswidya
Utami, M.A.B.</v>
      </c>
      <c r="G139">
        <v>1848</v>
      </c>
      <c r="K139">
        <v>22</v>
      </c>
      <c r="L139">
        <f>K139-M139</f>
        <v>20</v>
      </c>
      <c r="M139">
        <f>S139+T139+Z139+AA139+AC139</f>
        <v>2</v>
      </c>
      <c r="Z139">
        <v>1</v>
      </c>
      <c r="AA139">
        <v>1</v>
      </c>
      <c r="AD139">
        <f>K139-M139</f>
        <v>20</v>
      </c>
      <c r="AK139">
        <v>1</v>
      </c>
    </row>
    <row r="140" xml:space="preserve">
      <c r="B140" t="str" xml:space="preserve">
        <v xml:space="preserve">Rosiana Nurwa
Indah, S.Hum., M.A.</v>
      </c>
      <c r="G140">
        <v>1857</v>
      </c>
      <c r="K140">
        <v>22</v>
      </c>
      <c r="L140">
        <f>K140-M140</f>
        <v>22</v>
      </c>
      <c r="M140">
        <f>S140+T140+Z140+AA140+AC140</f>
        <v>0</v>
      </c>
      <c r="AD140">
        <f>K140-M140</f>
        <v>22</v>
      </c>
      <c r="AK140">
        <v>1</v>
      </c>
    </row>
    <row r="141" xml:space="preserve">
      <c r="B141" t="str" xml:space="preserve">
        <v xml:space="preserve">Sarah Anistia, S.T.,
M.A</v>
      </c>
      <c r="G141">
        <v>1861</v>
      </c>
      <c r="K141">
        <v>22</v>
      </c>
      <c r="L141">
        <f>K141-M141</f>
        <v>20</v>
      </c>
      <c r="M141">
        <f>S141+T141+Z141+AA141+AC141</f>
        <v>2</v>
      </c>
      <c r="Z141">
        <v>1</v>
      </c>
      <c r="AA141">
        <v>1</v>
      </c>
      <c r="AD141">
        <f>K141-M141</f>
        <v>20</v>
      </c>
      <c r="AK141">
        <v>1</v>
      </c>
    </row>
    <row r="142" xml:space="preserve">
      <c r="B142" t="str" xml:space="preserve">
        <v xml:space="preserve">Sekartaji Anisa Putri,
M.Si.</v>
      </c>
      <c r="G142">
        <v>1866</v>
      </c>
      <c r="K142">
        <v>22</v>
      </c>
      <c r="L142">
        <f>K142-M142</f>
        <v>7</v>
      </c>
      <c r="M142">
        <f>S142+T142+Z142+AA142+AC142</f>
        <v>15</v>
      </c>
      <c r="T142">
        <v>9</v>
      </c>
      <c r="Z142">
        <v>6</v>
      </c>
      <c r="AD142">
        <f>K142-M142</f>
        <v>7</v>
      </c>
      <c r="AK142">
        <v>1</v>
      </c>
    </row>
    <row r="143">
      <c r="B143" t="str">
        <v>Wira Puji Hendarwati,  M.A.</v>
      </c>
      <c r="G143">
        <v>1873</v>
      </c>
      <c r="K143">
        <v>22</v>
      </c>
      <c r="L143">
        <f>K143-M143</f>
        <v>17</v>
      </c>
      <c r="M143">
        <f>S143+T143+Z143+AA143+AC143</f>
        <v>5</v>
      </c>
      <c r="Z143">
        <v>5</v>
      </c>
      <c r="AD143">
        <f>K143-M143</f>
        <v>17</v>
      </c>
      <c r="AK143">
        <v>1</v>
      </c>
    </row>
    <row r="144">
      <c r="B144" t="str">
        <v>Roman Hadi Saputro, M.I</v>
      </c>
      <c r="G144">
        <v>1883</v>
      </c>
      <c r="K144">
        <v>22</v>
      </c>
      <c r="L144">
        <f>K144-M144</f>
        <v>15</v>
      </c>
      <c r="M144">
        <f>S144+T144+Z144+AA144+AC144</f>
        <v>7</v>
      </c>
      <c r="T144">
        <v>7</v>
      </c>
      <c r="AD144">
        <f>K144-M144</f>
        <v>15</v>
      </c>
      <c r="AK144">
        <v>1</v>
      </c>
    </row>
    <row r="145">
      <c r="B145" t="str">
        <v>Total: 15</v>
      </c>
      <c r="K145">
        <f>SUM(K130:K144)</f>
        <v>330</v>
      </c>
      <c r="L145">
        <f>SUM(L130:L144)</f>
        <v>265</v>
      </c>
      <c r="AD145">
        <f>SUM(AD130:AD144)</f>
        <v>265</v>
      </c>
    </row>
    <row r="146">
      <c r="B146" t="str">
        <v>FHISIP</v>
      </c>
    </row>
    <row r="147">
      <c r="B147" t="str">
        <v>Rivaldy N Muhammad</v>
      </c>
      <c r="G147">
        <v>1900</v>
      </c>
      <c r="K147">
        <v>22</v>
      </c>
      <c r="L147">
        <f>K147-M147</f>
        <v>6</v>
      </c>
      <c r="M147">
        <f>S147+T147+Z147+AA147+AC147</f>
        <v>16</v>
      </c>
      <c r="T147">
        <v>16</v>
      </c>
      <c r="AD147">
        <f>K147-M147</f>
        <v>6</v>
      </c>
      <c r="AK147">
        <v>1</v>
      </c>
    </row>
    <row r="148">
      <c r="B148" t="str">
        <v>Yadi Apriadi, S.Kom.</v>
      </c>
      <c r="G148">
        <v>1901</v>
      </c>
      <c r="K148">
        <v>22</v>
      </c>
      <c r="L148">
        <f>K148-M148</f>
        <v>22</v>
      </c>
      <c r="M148">
        <f>S148+T148+Z148+AA148+AC148</f>
        <v>0</v>
      </c>
      <c r="AD148">
        <f>K148-M148</f>
        <v>22</v>
      </c>
      <c r="AK148">
        <v>1</v>
      </c>
    </row>
    <row r="149" xml:space="preserve">
      <c r="B149" t="str" xml:space="preserve">
        <v xml:space="preserve">Azzahra Rabiatul
Adawiy</v>
      </c>
      <c r="G149">
        <v>1931</v>
      </c>
      <c r="K149">
        <v>22</v>
      </c>
      <c r="L149">
        <f>K149-M149</f>
        <v>22</v>
      </c>
      <c r="M149">
        <f>S149+T149+Z149+AA149+AC149</f>
        <v>0</v>
      </c>
      <c r="AD149">
        <f>K149-M149</f>
        <v>22</v>
      </c>
      <c r="AK149">
        <v>1</v>
      </c>
    </row>
    <row r="150">
      <c r="B150" t="str">
        <v>Rahadian Kamandaru</v>
      </c>
      <c r="G150">
        <v>1950</v>
      </c>
      <c r="K150">
        <v>22</v>
      </c>
      <c r="L150">
        <f>K150-M150</f>
        <v>19</v>
      </c>
      <c r="M150">
        <f>S150+T150+Z150+AA150+AC150</f>
        <v>3</v>
      </c>
      <c r="T150">
        <v>3</v>
      </c>
      <c r="AD150">
        <f>K150-M150</f>
        <v>19</v>
      </c>
      <c r="AK150">
        <v>1</v>
      </c>
    </row>
    <row r="151">
      <c r="B151" t="str">
        <v>Dr. Endang Tri Irianingsih M.Sos.</v>
      </c>
      <c r="G151">
        <v>1951</v>
      </c>
      <c r="K151">
        <v>22</v>
      </c>
      <c r="L151">
        <f>K151-M151</f>
        <v>22</v>
      </c>
      <c r="M151">
        <f>S151+T151+Z151+AA151+AC151</f>
        <v>0</v>
      </c>
      <c r="AD151">
        <f>K151-M151</f>
        <v>22</v>
      </c>
      <c r="AK151">
        <v>1</v>
      </c>
    </row>
    <row r="152">
      <c r="B152" t="str">
        <v>Arina Haque</v>
      </c>
      <c r="G152">
        <v>1953</v>
      </c>
      <c r="K152">
        <v>22</v>
      </c>
      <c r="L152">
        <f>K152-M152</f>
        <v>20</v>
      </c>
      <c r="M152">
        <f>S152+T152+Z152+AA152+AC152</f>
        <v>2</v>
      </c>
      <c r="T152">
        <v>1</v>
      </c>
      <c r="AA152">
        <v>1</v>
      </c>
      <c r="AD152">
        <f>K152-M152</f>
        <v>20</v>
      </c>
      <c r="AK152">
        <v>1</v>
      </c>
    </row>
    <row r="153">
      <c r="B153" t="str">
        <v>Irma Mega Putri</v>
      </c>
      <c r="G153">
        <v>1957</v>
      </c>
      <c r="K153">
        <v>22</v>
      </c>
      <c r="L153">
        <f>K153-M153</f>
        <v>21</v>
      </c>
      <c r="M153">
        <f>S153+T153+Z153+AA153+AC153</f>
        <v>1</v>
      </c>
      <c r="T153">
        <v>1</v>
      </c>
      <c r="AD153">
        <f>K153-M153</f>
        <v>21</v>
      </c>
      <c r="AK153">
        <v>1</v>
      </c>
    </row>
    <row r="154" xml:space="preserve">
      <c r="B154" t="str" xml:space="preserve">
        <v xml:space="preserve">Irva Sectio Caesaria
Sa</v>
      </c>
      <c r="G154">
        <v>1963</v>
      </c>
      <c r="K154">
        <v>22</v>
      </c>
      <c r="L154">
        <f>K154-M154</f>
        <v>20</v>
      </c>
      <c r="M154">
        <f>S154+T154+Z154+AA154+AC154</f>
        <v>2</v>
      </c>
      <c r="T154">
        <v>2</v>
      </c>
      <c r="AD154">
        <f>K154-M154</f>
        <v>20</v>
      </c>
      <c r="AK154">
        <v>1</v>
      </c>
    </row>
    <row r="155" xml:space="preserve">
      <c r="B155" t="str" xml:space="preserve">
        <v xml:space="preserve">Aprilia Cahyani
Prabudi</v>
      </c>
      <c r="G155">
        <v>1966</v>
      </c>
      <c r="K155">
        <v>22</v>
      </c>
      <c r="L155">
        <f>K155-M155</f>
        <v>14</v>
      </c>
      <c r="M155">
        <f>S155+T155+Z155+AA155+AC155</f>
        <v>8</v>
      </c>
      <c r="T155">
        <v>8</v>
      </c>
      <c r="AD155">
        <f>K155-M155</f>
        <v>14</v>
      </c>
      <c r="AK155">
        <v>1</v>
      </c>
    </row>
    <row r="156">
      <c r="B156" t="str">
        <v>M. Rizki Adiyaksa</v>
      </c>
      <c r="G156">
        <v>1973</v>
      </c>
      <c r="K156">
        <v>22</v>
      </c>
      <c r="L156">
        <f>K156-M156</f>
        <v>21</v>
      </c>
      <c r="M156">
        <f>S156+T156+Z156+AA156+AC156</f>
        <v>1</v>
      </c>
      <c r="R156">
        <v>1</v>
      </c>
      <c r="Z156">
        <v>1</v>
      </c>
      <c r="AD156">
        <f>K156-M156</f>
        <v>21</v>
      </c>
      <c r="AK156">
        <v>1</v>
      </c>
    </row>
    <row r="157">
      <c r="B157" t="str">
        <v>Total: 10</v>
      </c>
      <c r="K157">
        <f>SUM(K147:K156)</f>
        <v>220</v>
      </c>
      <c r="L157">
        <f>SUM(L147:L156)</f>
        <v>187</v>
      </c>
      <c r="AD157">
        <f>SUM(AD147:AD156)</f>
        <v>187</v>
      </c>
    </row>
    <row r="158">
      <c r="B158" t="str">
        <v>ADMINISTRASI</v>
      </c>
    </row>
    <row r="159" xml:space="preserve">
      <c r="B159" t="str" xml:space="preserve">
        <v xml:space="preserve">Asia Susanti, S.S.
S.Kom</v>
      </c>
      <c r="G159">
        <v>1280</v>
      </c>
      <c r="K159">
        <v>22</v>
      </c>
      <c r="L159">
        <f>K159-M159</f>
        <v>22</v>
      </c>
      <c r="M159">
        <f>S159+T159+Z159+AA159+AC159</f>
        <v>0</v>
      </c>
      <c r="AD159">
        <f>K159-M159</f>
        <v>22</v>
      </c>
      <c r="AK159">
        <v>1</v>
      </c>
    </row>
    <row r="160">
      <c r="B160" t="str">
        <v>Total: 1</v>
      </c>
      <c r="K160">
        <f>SUM(K159:K159)</f>
        <v>22</v>
      </c>
      <c r="L160">
        <f>SUM(L159:L159)</f>
        <v>22</v>
      </c>
      <c r="AD160">
        <f>SUM(AD159:AD159)</f>
        <v>22</v>
      </c>
    </row>
    <row r="161">
      <c r="B161" t="str">
        <v>DOSEN</v>
      </c>
    </row>
    <row r="162">
      <c r="B162" t="str">
        <v>Puryanto S.ST., M.Ds</v>
      </c>
      <c r="G162">
        <v>1159</v>
      </c>
      <c r="K162">
        <v>22</v>
      </c>
      <c r="L162">
        <f>K162-M162</f>
        <v>18</v>
      </c>
      <c r="M162">
        <f>S162+T162+Z162+AA162+AC162</f>
        <v>4</v>
      </c>
      <c r="T162">
        <v>4</v>
      </c>
      <c r="AD162">
        <f>K162-M162</f>
        <v>18</v>
      </c>
      <c r="AK162">
        <v>1</v>
      </c>
    </row>
    <row r="163">
      <c r="B163" t="str">
        <v>Total: 1</v>
      </c>
      <c r="K163">
        <f>SUM(K162:K162)</f>
        <v>22</v>
      </c>
      <c r="L163">
        <f>SUM(L162:L162)</f>
        <v>18</v>
      </c>
      <c r="AD163">
        <f>SUM(AD162:AD162)</f>
        <v>18</v>
      </c>
    </row>
    <row r="164">
      <c r="B164" t="str">
        <v>ADMINISTRASI</v>
      </c>
    </row>
    <row r="165">
      <c r="B165" t="str">
        <v>Ishmah Ariiqoh</v>
      </c>
      <c r="G165">
        <v>2040</v>
      </c>
      <c r="K165">
        <v>22</v>
      </c>
      <c r="L165">
        <f>K165-M165</f>
        <v>22</v>
      </c>
      <c r="M165">
        <f>S165+T165+Z165+AA165+AC165</f>
        <v>0</v>
      </c>
      <c r="AD165">
        <f>K165-M165</f>
        <v>22</v>
      </c>
      <c r="AK165">
        <v>1</v>
      </c>
    </row>
    <row r="166">
      <c r="B166" t="str">
        <v>Radhitya Putranugraha, S.Psi.</v>
      </c>
      <c r="G166">
        <v>2041</v>
      </c>
      <c r="K166">
        <v>22</v>
      </c>
      <c r="L166">
        <f>K166-M166</f>
        <v>22</v>
      </c>
      <c r="M166">
        <f>S166+T166+Z166+AA166+AC166</f>
        <v>0</v>
      </c>
      <c r="AD166">
        <f>K166-M166</f>
        <v>22</v>
      </c>
      <c r="AK166">
        <v>1</v>
      </c>
    </row>
    <row r="167">
      <c r="B167" t="str">
        <v>Raihan Rizky Andana, S.M.</v>
      </c>
      <c r="G167">
        <v>2042</v>
      </c>
      <c r="K167">
        <v>22</v>
      </c>
      <c r="L167">
        <f>K167-M167</f>
        <v>22</v>
      </c>
      <c r="M167">
        <f>S167+T167+Z167+AA167+AC167</f>
        <v>0</v>
      </c>
      <c r="AD167">
        <f>K167-M167</f>
        <v>22</v>
      </c>
      <c r="AK167">
        <v>1</v>
      </c>
    </row>
    <row r="168">
      <c r="B168" t="str">
        <v>Muhammad Yahya Fadillah, S.Mat.</v>
      </c>
      <c r="G168">
        <v>2043</v>
      </c>
      <c r="K168">
        <v>22</v>
      </c>
      <c r="L168">
        <f>K168-M168</f>
        <v>21</v>
      </c>
      <c r="M168">
        <f>S168+T168+Z168+AA168+AC168</f>
        <v>1</v>
      </c>
      <c r="T168">
        <v>1</v>
      </c>
      <c r="AD168">
        <f>K168-M168</f>
        <v>21</v>
      </c>
      <c r="AK168">
        <v>1</v>
      </c>
    </row>
    <row r="169">
      <c r="B169" t="str">
        <v>Mohammad Sihabudin Al Qurtubi, S.Si.D.</v>
      </c>
      <c r="G169">
        <v>2044</v>
      </c>
      <c r="K169">
        <v>22</v>
      </c>
      <c r="L169">
        <f>K169-M169</f>
        <v>21</v>
      </c>
      <c r="M169">
        <f>S169+T169+Z169+AA169+AC169</f>
        <v>1</v>
      </c>
      <c r="T169">
        <v>1</v>
      </c>
      <c r="AD169">
        <f>K169-M169</f>
        <v>21</v>
      </c>
      <c r="AK169">
        <v>1</v>
      </c>
    </row>
    <row r="170">
      <c r="B170" t="str">
        <v>Wafiddin Naufal, S.T.</v>
      </c>
      <c r="G170">
        <v>2045</v>
      </c>
      <c r="K170">
        <v>22</v>
      </c>
      <c r="L170">
        <f>K170-M170</f>
        <v>22</v>
      </c>
      <c r="M170">
        <f>S170+T170+Z170+AA170+AC170</f>
        <v>0</v>
      </c>
      <c r="AD170">
        <f>K170-M170</f>
        <v>22</v>
      </c>
      <c r="AK170">
        <v>1</v>
      </c>
    </row>
    <row r="171">
      <c r="B171" t="str">
        <v>Firya Syafira, S.Kom.</v>
      </c>
      <c r="G171">
        <v>2046</v>
      </c>
      <c r="K171">
        <v>22</v>
      </c>
      <c r="L171">
        <f>K171-M171</f>
        <v>22</v>
      </c>
      <c r="M171">
        <f>S171+T171+Z171+AA171+AC171</f>
        <v>0</v>
      </c>
      <c r="AD171">
        <f>K171-M171</f>
        <v>22</v>
      </c>
      <c r="AK171">
        <v>1</v>
      </c>
    </row>
    <row r="172">
      <c r="B172" t="str">
        <v>Total: 7</v>
      </c>
      <c r="K172">
        <f>SUM(K165:K171)</f>
        <v>154</v>
      </c>
      <c r="L172">
        <f>SUM(L165:L171)</f>
        <v>152</v>
      </c>
      <c r="AD172">
        <f>SUM(AD165:AD171)</f>
        <v>152</v>
      </c>
    </row>
    <row r="173">
      <c r="B173" t="str">
        <v>Grand Total: 116</v>
      </c>
      <c r="K173">
        <f>SUM(K20,K38,K42,K45,K48,K57,K61,K70,K73,K78,K83,K90,K93,K104,K107,K118,K128,K145,K157,K160,K163,K172)</f>
        <v>2552</v>
      </c>
      <c r="L173">
        <f>SUM(L20,L38,L42,L45,L48,L57,L61,L70,L73,L78,L83,L90,L93,L104,L107,L118,L128,L145,L157,L160,L163,L172)</f>
        <v>1995</v>
      </c>
      <c r="AD173">
        <f>SUM(AD20,AD38,AD42,AD45,AD48,AD57,AD61,AD70,AD73,AD78,AD83,AD90,AD93,AD104,AD107,AD118,AD128,AD145,AD157,AD160,AD163,AD172)</f>
        <v>1995</v>
      </c>
      <c r="AK173">
        <f>SUM(AK13:AK172)</f>
        <v>116</v>
      </c>
    </row>
    <row r="176">
      <c r="C176" t="str">
        <v>Oleh:</v>
      </c>
      <c r="E176" t="str">
        <v>Supervisor</v>
      </c>
      <c r="J176" t="str">
        <v>30/09/2026</v>
      </c>
      <c r="AE176" t="str">
        <v>Hal. 9</v>
      </c>
    </row>
    <row r="179">
      <c r="Z179" t="str">
        <v>Tangerang Selatan, 1 Oktober 2026</v>
      </c>
    </row>
    <row r="180">
      <c r="Z180" t="str">
        <v>Dekan FHISIP-UT,</v>
      </c>
    </row>
    <row r="185">
      <c r="Z185" t="str">
        <v>Dr. Meita Istianda, S.IP., M.Si.</v>
      </c>
    </row>
    <row r="186">
      <c r="Z186" t="str">
        <v>NIP 196705191987012001</v>
      </c>
    </row>
  </sheetData>
  <mergeCells count="652">
    <mergeCell ref="A1:P3"/>
    <mergeCell ref="Q2:U3"/>
    <mergeCell ref="AB3:AH8"/>
    <mergeCell ref="B10:E11"/>
    <mergeCell ref="F10:J11"/>
    <mergeCell ref="AH10:AI11"/>
    <mergeCell ref="B12:AI12"/>
    <mergeCell ref="B13:F13"/>
    <mergeCell ref="G13:J13"/>
    <mergeCell ref="M13:N13"/>
    <mergeCell ref="AD13:AE13"/>
    <mergeCell ref="B14:F14"/>
    <mergeCell ref="G14:J14"/>
    <mergeCell ref="M14:N14"/>
    <mergeCell ref="AA14:AB14"/>
    <mergeCell ref="AD14:AE14"/>
    <mergeCell ref="B15:F15"/>
    <mergeCell ref="G15:J15"/>
    <mergeCell ref="M15:N15"/>
    <mergeCell ref="T15:V15"/>
    <mergeCell ref="AD15:AE15"/>
    <mergeCell ref="B16:F16"/>
    <mergeCell ref="G16:J16"/>
    <mergeCell ref="M16:N16"/>
    <mergeCell ref="AD16:AE16"/>
    <mergeCell ref="B17:F17"/>
    <mergeCell ref="G17:J17"/>
    <mergeCell ref="M17:N17"/>
    <mergeCell ref="AD17:AE17"/>
    <mergeCell ref="B18:F18"/>
    <mergeCell ref="G18:J18"/>
    <mergeCell ref="M18:N18"/>
    <mergeCell ref="AD18:AE18"/>
    <mergeCell ref="B19:F19"/>
    <mergeCell ref="G19:J19"/>
    <mergeCell ref="M19:N19"/>
    <mergeCell ref="AA19:AB19"/>
    <mergeCell ref="AD19:AE19"/>
    <mergeCell ref="B20:J20"/>
    <mergeCell ref="AD20:AE20"/>
    <mergeCell ref="B21:AI21"/>
    <mergeCell ref="B22:F22"/>
    <mergeCell ref="G22:J22"/>
    <mergeCell ref="M22:N22"/>
    <mergeCell ref="T22:V22"/>
    <mergeCell ref="AA22:AB22"/>
    <mergeCell ref="AD22:AE22"/>
    <mergeCell ref="B23:F23"/>
    <mergeCell ref="G23:J23"/>
    <mergeCell ref="M23:N23"/>
    <mergeCell ref="AA23:AB23"/>
    <mergeCell ref="AD23:AE23"/>
    <mergeCell ref="B24:F24"/>
    <mergeCell ref="G24:J24"/>
    <mergeCell ref="M24:N24"/>
    <mergeCell ref="T24:V24"/>
    <mergeCell ref="AD24:AE24"/>
    <mergeCell ref="B25:F25"/>
    <mergeCell ref="G25:J25"/>
    <mergeCell ref="M25:N25"/>
    <mergeCell ref="T25:V25"/>
    <mergeCell ref="AA25:AB25"/>
    <mergeCell ref="AD25:AE25"/>
    <mergeCell ref="B26:F26"/>
    <mergeCell ref="G26:J26"/>
    <mergeCell ref="M26:N26"/>
    <mergeCell ref="P26:Q26"/>
    <mergeCell ref="T26:V26"/>
    <mergeCell ref="AD26:AE26"/>
    <mergeCell ref="B27:F27"/>
    <mergeCell ref="G27:J27"/>
    <mergeCell ref="M27:N27"/>
    <mergeCell ref="T27:V27"/>
    <mergeCell ref="AD27:AE27"/>
    <mergeCell ref="B28:F28"/>
    <mergeCell ref="G28:J28"/>
    <mergeCell ref="M28:N28"/>
    <mergeCell ref="T28:V28"/>
    <mergeCell ref="AD28:AE28"/>
    <mergeCell ref="B29:F29"/>
    <mergeCell ref="G29:J29"/>
    <mergeCell ref="M29:N29"/>
    <mergeCell ref="T29:V29"/>
    <mergeCell ref="AD29:AE29"/>
    <mergeCell ref="B30:F30"/>
    <mergeCell ref="G30:J30"/>
    <mergeCell ref="M30:N30"/>
    <mergeCell ref="T30:V30"/>
    <mergeCell ref="AD30:AE30"/>
    <mergeCell ref="B31:F31"/>
    <mergeCell ref="G31:J31"/>
    <mergeCell ref="M31:N31"/>
    <mergeCell ref="T31:V31"/>
    <mergeCell ref="AA31:AB31"/>
    <mergeCell ref="AD31:AE31"/>
    <mergeCell ref="B32:F32"/>
    <mergeCell ref="G32:J32"/>
    <mergeCell ref="M32:N32"/>
    <mergeCell ref="T32:V32"/>
    <mergeCell ref="AD32:AE32"/>
    <mergeCell ref="B33:F33"/>
    <mergeCell ref="G33:J33"/>
    <mergeCell ref="M33:N33"/>
    <mergeCell ref="P33:Q33"/>
    <mergeCell ref="T33:V33"/>
    <mergeCell ref="AA33:AB33"/>
    <mergeCell ref="AD33:AE33"/>
    <mergeCell ref="B34:F34"/>
    <mergeCell ref="G34:J34"/>
    <mergeCell ref="M34:N34"/>
    <mergeCell ref="T34:V34"/>
    <mergeCell ref="AD34:AE34"/>
    <mergeCell ref="B35:F35"/>
    <mergeCell ref="G35:J35"/>
    <mergeCell ref="M35:N35"/>
    <mergeCell ref="P35:Q35"/>
    <mergeCell ref="T35:V35"/>
    <mergeCell ref="AA35:AB35"/>
    <mergeCell ref="AD35:AE35"/>
    <mergeCell ref="B36:F36"/>
    <mergeCell ref="G36:J36"/>
    <mergeCell ref="M36:N36"/>
    <mergeCell ref="T36:V36"/>
    <mergeCell ref="AD36:AE36"/>
    <mergeCell ref="B37:F37"/>
    <mergeCell ref="G37:J37"/>
    <mergeCell ref="M37:N37"/>
    <mergeCell ref="T37:V37"/>
    <mergeCell ref="AD37:AE37"/>
    <mergeCell ref="B38:J38"/>
    <mergeCell ref="AD38:AE38"/>
    <mergeCell ref="B39:AI39"/>
    <mergeCell ref="B40:F40"/>
    <mergeCell ref="G40:J40"/>
    <mergeCell ref="M40:N40"/>
    <mergeCell ref="AD40:AE40"/>
    <mergeCell ref="B41:F41"/>
    <mergeCell ref="G41:J41"/>
    <mergeCell ref="M41:N41"/>
    <mergeCell ref="T41:V41"/>
    <mergeCell ref="AA41:AB41"/>
    <mergeCell ref="AD41:AE41"/>
    <mergeCell ref="B42:J42"/>
    <mergeCell ref="AD42:AE42"/>
    <mergeCell ref="B43:AI43"/>
    <mergeCell ref="B44:F44"/>
    <mergeCell ref="G44:J44"/>
    <mergeCell ref="M44:N44"/>
    <mergeCell ref="T44:V44"/>
    <mergeCell ref="AD44:AE44"/>
    <mergeCell ref="B45:J45"/>
    <mergeCell ref="AD45:AE45"/>
    <mergeCell ref="B46:AI46"/>
    <mergeCell ref="B47:F47"/>
    <mergeCell ref="G47:J47"/>
    <mergeCell ref="M47:N47"/>
    <mergeCell ref="AA47:AB47"/>
    <mergeCell ref="AD47:AE47"/>
    <mergeCell ref="B48:J48"/>
    <mergeCell ref="AD48:AE48"/>
    <mergeCell ref="B49:AI49"/>
    <mergeCell ref="B50:F50"/>
    <mergeCell ref="G50:J50"/>
    <mergeCell ref="M50:N50"/>
    <mergeCell ref="T50:V50"/>
    <mergeCell ref="AD50:AE50"/>
    <mergeCell ref="B51:F51"/>
    <mergeCell ref="G51:J51"/>
    <mergeCell ref="M51:N51"/>
    <mergeCell ref="AD51:AE51"/>
    <mergeCell ref="B52:F52"/>
    <mergeCell ref="G52:J52"/>
    <mergeCell ref="M52:N52"/>
    <mergeCell ref="T52:V52"/>
    <mergeCell ref="AD52:AE52"/>
    <mergeCell ref="B53:F53"/>
    <mergeCell ref="G53:J53"/>
    <mergeCell ref="M53:N53"/>
    <mergeCell ref="AD53:AE53"/>
    <mergeCell ref="B54:F54"/>
    <mergeCell ref="G54:J54"/>
    <mergeCell ref="M54:N54"/>
    <mergeCell ref="T54:V54"/>
    <mergeCell ref="AD54:AE54"/>
    <mergeCell ref="B55:F55"/>
    <mergeCell ref="G55:J55"/>
    <mergeCell ref="M55:N55"/>
    <mergeCell ref="AD55:AE55"/>
    <mergeCell ref="B56:F56"/>
    <mergeCell ref="G56:J56"/>
    <mergeCell ref="M56:N56"/>
    <mergeCell ref="T56:V56"/>
    <mergeCell ref="AD56:AE56"/>
    <mergeCell ref="B57:J57"/>
    <mergeCell ref="AD57:AE57"/>
    <mergeCell ref="B58:AI58"/>
    <mergeCell ref="B59:F59"/>
    <mergeCell ref="G59:J59"/>
    <mergeCell ref="M59:N59"/>
    <mergeCell ref="T59:V59"/>
    <mergeCell ref="AD59:AE59"/>
    <mergeCell ref="B60:F60"/>
    <mergeCell ref="G60:J60"/>
    <mergeCell ref="M60:N60"/>
    <mergeCell ref="T60:V60"/>
    <mergeCell ref="AA60:AB60"/>
    <mergeCell ref="AD60:AE60"/>
    <mergeCell ref="B61:J61"/>
    <mergeCell ref="AD61:AE61"/>
    <mergeCell ref="B62:AI62"/>
    <mergeCell ref="B63:F63"/>
    <mergeCell ref="G63:J63"/>
    <mergeCell ref="M63:N63"/>
    <mergeCell ref="T63:V63"/>
    <mergeCell ref="AD63:AE63"/>
    <mergeCell ref="B64:F64"/>
    <mergeCell ref="G64:J64"/>
    <mergeCell ref="M64:N64"/>
    <mergeCell ref="T64:V64"/>
    <mergeCell ref="AA64:AB64"/>
    <mergeCell ref="AD64:AE64"/>
    <mergeCell ref="B65:F65"/>
    <mergeCell ref="G65:J65"/>
    <mergeCell ref="M65:N65"/>
    <mergeCell ref="T65:V65"/>
    <mergeCell ref="AD65:AE65"/>
    <mergeCell ref="B66:F66"/>
    <mergeCell ref="G66:J66"/>
    <mergeCell ref="M66:N66"/>
    <mergeCell ref="T66:V66"/>
    <mergeCell ref="AD66:AE66"/>
    <mergeCell ref="B67:F67"/>
    <mergeCell ref="G67:J67"/>
    <mergeCell ref="M67:N67"/>
    <mergeCell ref="AD67:AE67"/>
    <mergeCell ref="B68:F68"/>
    <mergeCell ref="G68:J68"/>
    <mergeCell ref="M68:N68"/>
    <mergeCell ref="T68:V68"/>
    <mergeCell ref="AD68:AE68"/>
    <mergeCell ref="B69:F69"/>
    <mergeCell ref="G69:J69"/>
    <mergeCell ref="M69:N69"/>
    <mergeCell ref="T69:V69"/>
    <mergeCell ref="AD69:AE69"/>
    <mergeCell ref="B70:J70"/>
    <mergeCell ref="AD70:AE70"/>
    <mergeCell ref="B71:AI71"/>
    <mergeCell ref="B72:F72"/>
    <mergeCell ref="G72:J72"/>
    <mergeCell ref="M72:N72"/>
    <mergeCell ref="T72:V72"/>
    <mergeCell ref="AD72:AE72"/>
    <mergeCell ref="B73:J73"/>
    <mergeCell ref="AD73:AE73"/>
    <mergeCell ref="B74:AI74"/>
    <mergeCell ref="B75:F75"/>
    <mergeCell ref="G75:J75"/>
    <mergeCell ref="M75:N75"/>
    <mergeCell ref="T75:V75"/>
    <mergeCell ref="AA75:AB75"/>
    <mergeCell ref="AD75:AE75"/>
    <mergeCell ref="B76:F76"/>
    <mergeCell ref="G76:J76"/>
    <mergeCell ref="M76:N76"/>
    <mergeCell ref="T76:V76"/>
    <mergeCell ref="AD76:AE76"/>
    <mergeCell ref="B77:F77"/>
    <mergeCell ref="G77:J77"/>
    <mergeCell ref="M77:N77"/>
    <mergeCell ref="T77:V77"/>
    <mergeCell ref="AD77:AE77"/>
    <mergeCell ref="B78:J78"/>
    <mergeCell ref="AD78:AE78"/>
    <mergeCell ref="B79:AI79"/>
    <mergeCell ref="B80:F80"/>
    <mergeCell ref="G80:J80"/>
    <mergeCell ref="M80:N80"/>
    <mergeCell ref="T80:V80"/>
    <mergeCell ref="AA80:AB80"/>
    <mergeCell ref="AD80:AE80"/>
    <mergeCell ref="B81:F81"/>
    <mergeCell ref="G81:J81"/>
    <mergeCell ref="M81:N81"/>
    <mergeCell ref="AD81:AE81"/>
    <mergeCell ref="B82:F82"/>
    <mergeCell ref="G82:J82"/>
    <mergeCell ref="M82:N82"/>
    <mergeCell ref="AD82:AE82"/>
    <mergeCell ref="B83:J83"/>
    <mergeCell ref="AD83:AE83"/>
    <mergeCell ref="B84:AI84"/>
    <mergeCell ref="B85:AI85"/>
    <mergeCell ref="B86:F86"/>
    <mergeCell ref="G86:J86"/>
    <mergeCell ref="M86:N86"/>
    <mergeCell ref="T86:V86"/>
    <mergeCell ref="AA86:AB86"/>
    <mergeCell ref="AD86:AE86"/>
    <mergeCell ref="B87:F87"/>
    <mergeCell ref="G87:J87"/>
    <mergeCell ref="M87:N87"/>
    <mergeCell ref="T87:V87"/>
    <mergeCell ref="AD87:AE87"/>
    <mergeCell ref="B88:F88"/>
    <mergeCell ref="G88:J88"/>
    <mergeCell ref="M88:N88"/>
    <mergeCell ref="T88:V88"/>
    <mergeCell ref="AA88:AB88"/>
    <mergeCell ref="AD88:AE88"/>
    <mergeCell ref="B89:F89"/>
    <mergeCell ref="G89:J89"/>
    <mergeCell ref="M89:N89"/>
    <mergeCell ref="T89:V89"/>
    <mergeCell ref="AD89:AE89"/>
    <mergeCell ref="B90:J90"/>
    <mergeCell ref="AD90:AE90"/>
    <mergeCell ref="B91:AI91"/>
    <mergeCell ref="B92:F92"/>
    <mergeCell ref="G92:J92"/>
    <mergeCell ref="M92:N92"/>
    <mergeCell ref="AD92:AE92"/>
    <mergeCell ref="B93:J93"/>
    <mergeCell ref="AD93:AE93"/>
    <mergeCell ref="B94:AI94"/>
    <mergeCell ref="B95:F95"/>
    <mergeCell ref="G95:J95"/>
    <mergeCell ref="M95:N95"/>
    <mergeCell ref="AD95:AE95"/>
    <mergeCell ref="B96:F96"/>
    <mergeCell ref="G96:J96"/>
    <mergeCell ref="M96:N96"/>
    <mergeCell ref="T96:V96"/>
    <mergeCell ref="AA96:AB96"/>
    <mergeCell ref="AD96:AE96"/>
    <mergeCell ref="B97:F97"/>
    <mergeCell ref="G97:J97"/>
    <mergeCell ref="M97:N97"/>
    <mergeCell ref="P97:Q97"/>
    <mergeCell ref="T97:V97"/>
    <mergeCell ref="AA97:AB97"/>
    <mergeCell ref="AD97:AE97"/>
    <mergeCell ref="B98:F98"/>
    <mergeCell ref="G98:J98"/>
    <mergeCell ref="M98:N98"/>
    <mergeCell ref="T98:V98"/>
    <mergeCell ref="AD98:AE98"/>
    <mergeCell ref="B99:F99"/>
    <mergeCell ref="G99:J99"/>
    <mergeCell ref="M99:N99"/>
    <mergeCell ref="T99:V99"/>
    <mergeCell ref="AD99:AE99"/>
    <mergeCell ref="B100:F100"/>
    <mergeCell ref="G100:J100"/>
    <mergeCell ref="M100:N100"/>
    <mergeCell ref="T100:V100"/>
    <mergeCell ref="AA100:AB100"/>
    <mergeCell ref="AD100:AE100"/>
    <mergeCell ref="B101:F101"/>
    <mergeCell ref="G101:J101"/>
    <mergeCell ref="M101:N101"/>
    <mergeCell ref="AD101:AE101"/>
    <mergeCell ref="B102:F102"/>
    <mergeCell ref="G102:J102"/>
    <mergeCell ref="M102:N102"/>
    <mergeCell ref="T102:V102"/>
    <mergeCell ref="AD102:AE102"/>
    <mergeCell ref="B103:F103"/>
    <mergeCell ref="G103:J103"/>
    <mergeCell ref="M103:N103"/>
    <mergeCell ref="T103:V103"/>
    <mergeCell ref="AA103:AB103"/>
    <mergeCell ref="AD103:AE103"/>
    <mergeCell ref="B104:J104"/>
    <mergeCell ref="AD104:AE104"/>
    <mergeCell ref="B105:AI105"/>
    <mergeCell ref="B106:F106"/>
    <mergeCell ref="G106:J106"/>
    <mergeCell ref="M106:N106"/>
    <mergeCell ref="T106:V106"/>
    <mergeCell ref="AD106:AE106"/>
    <mergeCell ref="B107:J107"/>
    <mergeCell ref="AD107:AE107"/>
    <mergeCell ref="B108:AI108"/>
    <mergeCell ref="B109:F109"/>
    <mergeCell ref="G109:J109"/>
    <mergeCell ref="M109:N109"/>
    <mergeCell ref="T109:V109"/>
    <mergeCell ref="AD109:AE109"/>
    <mergeCell ref="B110:F110"/>
    <mergeCell ref="G110:J110"/>
    <mergeCell ref="M110:N110"/>
    <mergeCell ref="AA110:AB110"/>
    <mergeCell ref="AD110:AE110"/>
    <mergeCell ref="B111:F111"/>
    <mergeCell ref="G111:J111"/>
    <mergeCell ref="M111:N111"/>
    <mergeCell ref="T111:V111"/>
    <mergeCell ref="AA111:AB111"/>
    <mergeCell ref="AD111:AE111"/>
    <mergeCell ref="B112:F112"/>
    <mergeCell ref="G112:J112"/>
    <mergeCell ref="M112:N112"/>
    <mergeCell ref="T112:V112"/>
    <mergeCell ref="AD112:AE112"/>
    <mergeCell ref="B113:F113"/>
    <mergeCell ref="G113:J113"/>
    <mergeCell ref="M113:N113"/>
    <mergeCell ref="AA113:AB113"/>
    <mergeCell ref="AD113:AE113"/>
    <mergeCell ref="B114:F114"/>
    <mergeCell ref="G114:J114"/>
    <mergeCell ref="M114:N114"/>
    <mergeCell ref="T114:V114"/>
    <mergeCell ref="AD114:AE114"/>
    <mergeCell ref="B115:F115"/>
    <mergeCell ref="G115:J115"/>
    <mergeCell ref="M115:N115"/>
    <mergeCell ref="T115:V115"/>
    <mergeCell ref="AD115:AE115"/>
    <mergeCell ref="B116:F116"/>
    <mergeCell ref="G116:J116"/>
    <mergeCell ref="M116:N116"/>
    <mergeCell ref="T116:V116"/>
    <mergeCell ref="AD116:AE116"/>
    <mergeCell ref="B117:F117"/>
    <mergeCell ref="G117:J117"/>
    <mergeCell ref="M117:N117"/>
    <mergeCell ref="T117:V117"/>
    <mergeCell ref="AD117:AE117"/>
    <mergeCell ref="B118:J118"/>
    <mergeCell ref="AD118:AE118"/>
    <mergeCell ref="B119:AI119"/>
    <mergeCell ref="B120:F120"/>
    <mergeCell ref="G120:J120"/>
    <mergeCell ref="M120:N120"/>
    <mergeCell ref="AD120:AE120"/>
    <mergeCell ref="B121:F121"/>
    <mergeCell ref="G121:J121"/>
    <mergeCell ref="M121:N121"/>
    <mergeCell ref="T121:V121"/>
    <mergeCell ref="AD121:AE121"/>
    <mergeCell ref="B122:F122"/>
    <mergeCell ref="G122:J122"/>
    <mergeCell ref="M122:N122"/>
    <mergeCell ref="AA122:AB122"/>
    <mergeCell ref="AD122:AE122"/>
    <mergeCell ref="B123:F123"/>
    <mergeCell ref="G123:J123"/>
    <mergeCell ref="M123:N123"/>
    <mergeCell ref="AD123:AE123"/>
    <mergeCell ref="B124:F124"/>
    <mergeCell ref="G124:J124"/>
    <mergeCell ref="M124:N124"/>
    <mergeCell ref="T124:V124"/>
    <mergeCell ref="AA124:AB124"/>
    <mergeCell ref="AD124:AE124"/>
    <mergeCell ref="B125:F125"/>
    <mergeCell ref="G125:J125"/>
    <mergeCell ref="M125:N125"/>
    <mergeCell ref="AA125:AB125"/>
    <mergeCell ref="AD125:AE125"/>
    <mergeCell ref="B126:F126"/>
    <mergeCell ref="G126:J126"/>
    <mergeCell ref="M126:N126"/>
    <mergeCell ref="T126:V126"/>
    <mergeCell ref="AD126:AE126"/>
    <mergeCell ref="B127:F127"/>
    <mergeCell ref="G127:J127"/>
    <mergeCell ref="M127:N127"/>
    <mergeCell ref="T127:V127"/>
    <mergeCell ref="AA127:AB127"/>
    <mergeCell ref="AD127:AE127"/>
    <mergeCell ref="B128:J128"/>
    <mergeCell ref="AD128:AE128"/>
    <mergeCell ref="B129:AI129"/>
    <mergeCell ref="B130:F130"/>
    <mergeCell ref="G130:J130"/>
    <mergeCell ref="M130:N130"/>
    <mergeCell ref="T130:V130"/>
    <mergeCell ref="AD130:AE130"/>
    <mergeCell ref="B131:F131"/>
    <mergeCell ref="G131:J131"/>
    <mergeCell ref="M131:N131"/>
    <mergeCell ref="AD131:AE131"/>
    <mergeCell ref="B132:F132"/>
    <mergeCell ref="G132:J132"/>
    <mergeCell ref="M132:N132"/>
    <mergeCell ref="T132:V132"/>
    <mergeCell ref="AD132:AE132"/>
    <mergeCell ref="B133:F133"/>
    <mergeCell ref="G133:J133"/>
    <mergeCell ref="M133:N133"/>
    <mergeCell ref="T133:V133"/>
    <mergeCell ref="AD133:AE133"/>
    <mergeCell ref="B134:F134"/>
    <mergeCell ref="G134:J134"/>
    <mergeCell ref="M134:N134"/>
    <mergeCell ref="AD134:AE134"/>
    <mergeCell ref="B135:F135"/>
    <mergeCell ref="G135:J135"/>
    <mergeCell ref="M135:N135"/>
    <mergeCell ref="AA135:AB135"/>
    <mergeCell ref="AD135:AE135"/>
    <mergeCell ref="B136:F136"/>
    <mergeCell ref="G136:J136"/>
    <mergeCell ref="M136:N136"/>
    <mergeCell ref="T136:V136"/>
    <mergeCell ref="AA136:AB136"/>
    <mergeCell ref="AD136:AE136"/>
    <mergeCell ref="B137:F137"/>
    <mergeCell ref="G137:J137"/>
    <mergeCell ref="M137:N137"/>
    <mergeCell ref="T137:V137"/>
    <mergeCell ref="AD137:AE137"/>
    <mergeCell ref="B138:F138"/>
    <mergeCell ref="G138:J138"/>
    <mergeCell ref="M138:N138"/>
    <mergeCell ref="AD138:AE138"/>
    <mergeCell ref="B139:F139"/>
    <mergeCell ref="G139:J139"/>
    <mergeCell ref="M139:N139"/>
    <mergeCell ref="AA139:AB139"/>
    <mergeCell ref="AD139:AE139"/>
    <mergeCell ref="B140:F140"/>
    <mergeCell ref="G140:J140"/>
    <mergeCell ref="M140:N140"/>
    <mergeCell ref="AD140:AE140"/>
    <mergeCell ref="B141:F141"/>
    <mergeCell ref="G141:J141"/>
    <mergeCell ref="M141:N141"/>
    <mergeCell ref="AA141:AB141"/>
    <mergeCell ref="AD141:AE141"/>
    <mergeCell ref="B142:F142"/>
    <mergeCell ref="G142:J142"/>
    <mergeCell ref="M142:N142"/>
    <mergeCell ref="T142:V142"/>
    <mergeCell ref="AD142:AE142"/>
    <mergeCell ref="B143:F143"/>
    <mergeCell ref="G143:J143"/>
    <mergeCell ref="M143:N143"/>
    <mergeCell ref="AD143:AE143"/>
    <mergeCell ref="B144:F144"/>
    <mergeCell ref="G144:J144"/>
    <mergeCell ref="M144:N144"/>
    <mergeCell ref="T144:V144"/>
    <mergeCell ref="AD144:AE144"/>
    <mergeCell ref="B145:J145"/>
    <mergeCell ref="AD145:AE145"/>
    <mergeCell ref="B146:AI146"/>
    <mergeCell ref="B147:F147"/>
    <mergeCell ref="G147:J147"/>
    <mergeCell ref="M147:N147"/>
    <mergeCell ref="T147:V147"/>
    <mergeCell ref="AD147:AE147"/>
    <mergeCell ref="B148:F148"/>
    <mergeCell ref="G148:J148"/>
    <mergeCell ref="M148:N148"/>
    <mergeCell ref="AD148:AE148"/>
    <mergeCell ref="B149:F149"/>
    <mergeCell ref="G149:J149"/>
    <mergeCell ref="M149:N149"/>
    <mergeCell ref="AD149:AE149"/>
    <mergeCell ref="B150:F150"/>
    <mergeCell ref="G150:J150"/>
    <mergeCell ref="M150:N150"/>
    <mergeCell ref="T150:V150"/>
    <mergeCell ref="AD150:AE150"/>
    <mergeCell ref="B151:F151"/>
    <mergeCell ref="G151:J151"/>
    <mergeCell ref="M151:N151"/>
    <mergeCell ref="AD151:AE151"/>
    <mergeCell ref="B152:F152"/>
    <mergeCell ref="G152:J152"/>
    <mergeCell ref="M152:N152"/>
    <mergeCell ref="T152:V152"/>
    <mergeCell ref="AA152:AB152"/>
    <mergeCell ref="AD152:AE152"/>
    <mergeCell ref="B153:F153"/>
    <mergeCell ref="G153:J153"/>
    <mergeCell ref="M153:N153"/>
    <mergeCell ref="T153:V153"/>
    <mergeCell ref="AD153:AE153"/>
    <mergeCell ref="B154:F154"/>
    <mergeCell ref="G154:J154"/>
    <mergeCell ref="M154:N154"/>
    <mergeCell ref="T154:V154"/>
    <mergeCell ref="AD154:AE154"/>
    <mergeCell ref="B155:F155"/>
    <mergeCell ref="G155:J155"/>
    <mergeCell ref="M155:N155"/>
    <mergeCell ref="T155:V155"/>
    <mergeCell ref="AD155:AE155"/>
    <mergeCell ref="B156:F156"/>
    <mergeCell ref="G156:J156"/>
    <mergeCell ref="M156:N156"/>
    <mergeCell ref="AD156:AE156"/>
    <mergeCell ref="B157:J157"/>
    <mergeCell ref="AD157:AE157"/>
    <mergeCell ref="B158:AI158"/>
    <mergeCell ref="B159:F159"/>
    <mergeCell ref="G159:J159"/>
    <mergeCell ref="M159:N159"/>
    <mergeCell ref="AD159:AE159"/>
    <mergeCell ref="B160:J160"/>
    <mergeCell ref="AD160:AE160"/>
    <mergeCell ref="B161:AI161"/>
    <mergeCell ref="B162:F162"/>
    <mergeCell ref="G162:J162"/>
    <mergeCell ref="M162:N162"/>
    <mergeCell ref="T162:V162"/>
    <mergeCell ref="AD162:AE162"/>
    <mergeCell ref="B163:J163"/>
    <mergeCell ref="AD163:AE163"/>
    <mergeCell ref="B164:AI164"/>
    <mergeCell ref="B165:F165"/>
    <mergeCell ref="G165:J165"/>
    <mergeCell ref="M165:N165"/>
    <mergeCell ref="AD165:AE165"/>
    <mergeCell ref="B166:F166"/>
    <mergeCell ref="G166:J166"/>
    <mergeCell ref="M166:N166"/>
    <mergeCell ref="AD166:AE166"/>
    <mergeCell ref="B167:F167"/>
    <mergeCell ref="G167:J167"/>
    <mergeCell ref="M167:N167"/>
    <mergeCell ref="AD167:AE167"/>
    <mergeCell ref="B168:F168"/>
    <mergeCell ref="G168:J168"/>
    <mergeCell ref="M168:N168"/>
    <mergeCell ref="T168:V168"/>
    <mergeCell ref="AD168:AE168"/>
    <mergeCell ref="B169:F169"/>
    <mergeCell ref="G169:J169"/>
    <mergeCell ref="M169:N169"/>
    <mergeCell ref="T169:V169"/>
    <mergeCell ref="AD169:AE169"/>
    <mergeCell ref="B170:F170"/>
    <mergeCell ref="G170:J170"/>
    <mergeCell ref="M170:N170"/>
    <mergeCell ref="AD170:AE170"/>
    <mergeCell ref="B171:F171"/>
    <mergeCell ref="G171:J171"/>
    <mergeCell ref="M171:N171"/>
    <mergeCell ref="AD171:AE171"/>
    <mergeCell ref="B172:J172"/>
    <mergeCell ref="AD172:AE172"/>
    <mergeCell ref="B173:J173"/>
    <mergeCell ref="AD173:AE173"/>
    <mergeCell ref="E176:H177"/>
    <mergeCell ref="J176:M176"/>
    <mergeCell ref="AE176:AH177"/>
  </mergeCells>
  <ignoredErrors>
    <ignoredError numberStoredAsText="1" sqref="A1:AL18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