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5" rupBuild="14420"/>
  <workbookPr/>
  <bookViews>
    <workbookView xWindow="0" yWindow="0" windowWidth="28800" windowHeight="12330"/>
  </bookViews>
  <sheets>
    <sheet name="Rekap " sheetId="1" r:id="rId1"/>
  </sheets>
  <definedNames>
    <definedName name="_xlnm.Print_Area" localSheetId="0">'Rekap '!$A$1:$AJ$210</definedName>
    <definedName name="_xlnm.Print_Titles" localSheetId="0">'Rekap '!$10:$11</definedName>
  </definedNames>
  <calcPr calcId="162913" fullCalcOnLoad="1"/>
</workbook>
</file>

<file path=xl/sharedStrings.xml><?xml version="1.0" encoding="utf-8"?>
<sst xmlns="http://schemas.openxmlformats.org/spreadsheetml/2006/main" count="217" uniqueCount="183">
  <si>
    <t>Laporan Rekapitulasi</t>
  </si>
  <si>
    <t>(FHISIP November 2026)</t>
  </si>
  <si>
    <t>Dari 01-11-2026 s/d 30-11-2026</t>
  </si>
  <si>
    <t>Nama</t>
  </si>
  <si>
    <t>No. ID</t>
  </si>
  <si>
    <t>Normal</t>
  </si>
  <si>
    <t>Riil</t>
  </si>
  <si>
    <t>Absen</t>
  </si>
  <si>
    <t>Trlmbt</t>
  </si>
  <si>
    <t>Plg. Cpt</t>
  </si>
  <si>
    <t>Lmbr</t>
  </si>
  <si>
    <t>Tanpa Keterangan</t>
  </si>
  <si>
    <t>D.Luar</t>
  </si>
  <si>
    <t>N/In</t>
  </si>
  <si>
    <t>N/Out</t>
  </si>
  <si>
    <t>Scan</t>
  </si>
  <si>
    <t>Sakit</t>
  </si>
  <si>
    <t>Cuti</t>
  </si>
  <si>
    <t>Ijin</t>
  </si>
  <si>
    <t>Jam Kerja</t>
  </si>
  <si>
    <t xml:space="preserve">Rata-2
%</t>
  </si>
  <si>
    <t>Hari</t>
  </si>
  <si>
    <t>Jam</t>
  </si>
  <si>
    <t>ADMINISTRASI</t>
  </si>
  <si>
    <t>Acep Surya</t>
  </si>
  <si>
    <t xml:space="preserve">Caecilia Maria
I.H,S.Psi</t>
  </si>
  <si>
    <t>Muhammad Jati Eko Ermanto, S.H.</t>
  </si>
  <si>
    <t>Iwan Ruswana</t>
  </si>
  <si>
    <t>Endang Ismiatun</t>
  </si>
  <si>
    <t xml:space="preserve">Elisa Pandanwangi,
S.Sos., M.Kom.</t>
  </si>
  <si>
    <t xml:space="preserve">Erika Darmayanti, S.P.
S.E</t>
  </si>
  <si>
    <t>Total: 7</t>
  </si>
  <si>
    <t>DOSEN</t>
  </si>
  <si>
    <t xml:space="preserve">Dr. Agus Priyanto,
M.Si</t>
  </si>
  <si>
    <t xml:space="preserve">Drs. Agus Riyanto,
M.Ed.</t>
  </si>
  <si>
    <t xml:space="preserve">Anto Hidayat, S.IP.,
M.S</t>
  </si>
  <si>
    <t>Dra. Arifah Bintarti</t>
  </si>
  <si>
    <t>Drs. Ayi Karyana, M.Si.</t>
  </si>
  <si>
    <t>Habiburrahman, S.Sos., M.A.</t>
  </si>
  <si>
    <t>Prof. Daryono, SH.</t>
  </si>
  <si>
    <t>Dr. Irsanti WA,S.Sos.M., Si.</t>
  </si>
  <si>
    <t>Jayanti Armida Sari</t>
  </si>
  <si>
    <t>Prof. Dr. Karnedi, M.A.</t>
  </si>
  <si>
    <t>Dr. Isnaeni Yuliani, M.Si.</t>
  </si>
  <si>
    <t>Indra Pratama Putra S.</t>
  </si>
  <si>
    <t xml:space="preserve">Dr. Meita Istianda,
M.Si</t>
  </si>
  <si>
    <t xml:space="preserve">Dra. Nila Kusuma,
M.Si.</t>
  </si>
  <si>
    <t xml:space="preserve">Dra. Parwitaningsih,
M.S</t>
  </si>
  <si>
    <t>Dr. Muhtarom, S.E., M.M., Ak., CA</t>
  </si>
  <si>
    <t>Dr. Sri Sediyaningsih, M.Si.</t>
  </si>
  <si>
    <t xml:space="preserve">Widyasari, S.S.,
M.Hum.</t>
  </si>
  <si>
    <t>Sarah Derma Ekaputri, S.I.Kom., M.I.Kom.</t>
  </si>
  <si>
    <t>Yanti Hermawati, S.Sos.I., M.Si.</t>
  </si>
  <si>
    <t>Dra. Yulia Budiwati, M.Si.</t>
  </si>
  <si>
    <t xml:space="preserve">Dr. Milwan, S.Sos.,
M.Si</t>
  </si>
  <si>
    <t>Dra. Ace Sriati Rachman M.Si.</t>
  </si>
  <si>
    <t>Lingga Yonita, M.I.Kom.</t>
  </si>
  <si>
    <t>Total: 24</t>
  </si>
  <si>
    <t>Zumarie Putrimezu, S.E.</t>
  </si>
  <si>
    <t>Eka Indriati, S.Kom.</t>
  </si>
  <si>
    <t>Total: 2</t>
  </si>
  <si>
    <t>Drs. Hasanuddin, M.Si.</t>
  </si>
  <si>
    <t>Sarah Ayu Putri Novaria, M.I.Kom.</t>
  </si>
  <si>
    <t>Rahma Tri N S.IKom.</t>
  </si>
  <si>
    <t>Total: 1</t>
  </si>
  <si>
    <t>Viola Dwi Putri Syarif, S.Hum., M.IP.</t>
  </si>
  <si>
    <t xml:space="preserve">Pratiwi Anindita,
M.Hum</t>
  </si>
  <si>
    <t xml:space="preserve">Dr. Seno Wibowo,
M.H. M.Hum</t>
  </si>
  <si>
    <t>Bambang Agus, M.A.P</t>
  </si>
  <si>
    <t>Majidah</t>
  </si>
  <si>
    <t>Ridho Harta</t>
  </si>
  <si>
    <t>Nadia Nurani Isfarin, LL.M.</t>
  </si>
  <si>
    <t>Bahir Mukhammad, S.H., M.H.</t>
  </si>
  <si>
    <t>Total: 8</t>
  </si>
  <si>
    <t xml:space="preserve">Azrul Reza Rifqi A,
S.E.</t>
  </si>
  <si>
    <t xml:space="preserve">Gilang Munggaran,
S.E.</t>
  </si>
  <si>
    <t>DANIEL PASARIBU,S.Pd</t>
  </si>
  <si>
    <t xml:space="preserve">Syafiqoh  S.E.Sy., M.A.</t>
  </si>
  <si>
    <t>Nur Hayati, S.Pd. M.A</t>
  </si>
  <si>
    <t xml:space="preserve">Vica Ananta  S.Pd,
M.A.</t>
  </si>
  <si>
    <t xml:space="preserve">Madiha D.C  S.H., LL.M.</t>
  </si>
  <si>
    <t>Isma Dwi Fiani S.I.Kom., M.Si.</t>
  </si>
  <si>
    <t>GUNAWAN WIRADHARMA</t>
  </si>
  <si>
    <t xml:space="preserve">Dedy Juniadi, S.Kom,
M.A</t>
  </si>
  <si>
    <t>Dewi Maharani Rachmaningsih, S.Hum., M.A.</t>
  </si>
  <si>
    <t>Total: 9</t>
  </si>
  <si>
    <t xml:space="preserve">M Yusuf Wibisana,
S.Kom</t>
  </si>
  <si>
    <t>Sarah Fadilla, M.A.B</t>
  </si>
  <si>
    <t xml:space="preserve">Rachmawati W 
M.I.Kom.</t>
  </si>
  <si>
    <t xml:space="preserve">Widiyanto, S.Pd.,
M.Kom.</t>
  </si>
  <si>
    <t>ADISTHY SHABRINA N.</t>
  </si>
  <si>
    <t>Total: 4</t>
  </si>
  <si>
    <t>Muhamad Lazuardi, S.Kom.</t>
  </si>
  <si>
    <t>Rahmat Hidayat, S.E.</t>
  </si>
  <si>
    <t>Rani Dwi S, S.A.P.</t>
  </si>
  <si>
    <t>Total: 3</t>
  </si>
  <si>
    <t>PTNPNS</t>
  </si>
  <si>
    <t xml:space="preserve">Sapto Setyo  S.IP.,
M.A.</t>
  </si>
  <si>
    <t xml:space="preserve">Dina Fadiyah, S.IP.,
M.A</t>
  </si>
  <si>
    <t xml:space="preserve">Dr. Tora Akadira, M.Si.
M.A</t>
  </si>
  <si>
    <t>Nong Ayu Triyanti</t>
  </si>
  <si>
    <t>Windra Irawan</t>
  </si>
  <si>
    <t>Dr. Faizal Madya, S.IP., M.Si.</t>
  </si>
  <si>
    <t>Total: 6</t>
  </si>
  <si>
    <t>Viku Paoki, S.Sos</t>
  </si>
  <si>
    <t xml:space="preserve">Amud Sunarya S.Pd.,
M.Si</t>
  </si>
  <si>
    <t xml:space="preserve">Nur Ambia Arma
M.A.P.</t>
  </si>
  <si>
    <t>Aji Fajar Suryo M. A.</t>
  </si>
  <si>
    <t xml:space="preserve">Enggar M  S.Pd.,
M.Hum.</t>
  </si>
  <si>
    <t>Ardik Ardianto, M.A.</t>
  </si>
  <si>
    <t>Sri Pujiati, S.Pd., M.So</t>
  </si>
  <si>
    <t>Irla Yulia</t>
  </si>
  <si>
    <t>Nurkhalila F, M.I.Kom.</t>
  </si>
  <si>
    <t xml:space="preserve">Laras Ayu  S.I.P.,
M.Sos</t>
  </si>
  <si>
    <t>Destiana, S.A.B., M.A.B.</t>
  </si>
  <si>
    <t xml:space="preserve">Husna Putri
S.S.T.,M.B.A</t>
  </si>
  <si>
    <t>Meliza, S.H., M.H.</t>
  </si>
  <si>
    <t>Hanif Hardianto, M.H.</t>
  </si>
  <si>
    <t>Abdurrahman Rahim Thaha</t>
  </si>
  <si>
    <t xml:space="preserve">Dwi Rahmawati,
S.E.M.AB</t>
  </si>
  <si>
    <t xml:space="preserve">Drs. Wawan
Ruswanto M.Si</t>
  </si>
  <si>
    <t xml:space="preserve">Dr. Eha Saleha,  M.Si.</t>
  </si>
  <si>
    <t>Muhammad Danu</t>
  </si>
  <si>
    <t>Vivi Indra Amelia, Nst.</t>
  </si>
  <si>
    <t>Dr. M. Jeffri Arlinandes Chandra, S.H., M.H.</t>
  </si>
  <si>
    <t>Septin Tri F, S.M.</t>
  </si>
  <si>
    <t xml:space="preserve">M Yossy Kusuma,
S.Kom.</t>
  </si>
  <si>
    <t xml:space="preserve">Annisa Tul Hasanah,
S.E</t>
  </si>
  <si>
    <t>Deka Taufiq R ,S.E.</t>
  </si>
  <si>
    <t>Eka Nurjanah, S.H.</t>
  </si>
  <si>
    <t>Karlia Zainul, S.Kom.I.</t>
  </si>
  <si>
    <t xml:space="preserve">Lisa Dea Plasenta,
S.K.L</t>
  </si>
  <si>
    <t xml:space="preserve">Raden Roro Siti
Fatimah</t>
  </si>
  <si>
    <t xml:space="preserve">Bintang Parashteo,
M.H</t>
  </si>
  <si>
    <t xml:space="preserve">Aam Mariyamah,
M.Hum.</t>
  </si>
  <si>
    <t xml:space="preserve">Agus Priyanto, S.A.B.,
M.I.P.</t>
  </si>
  <si>
    <t xml:space="preserve">Amelia Yeza
Pradhipta, S.Hum., M.Si.</t>
  </si>
  <si>
    <t>Evi Zakiyah, S.IIP., M.Hum.</t>
  </si>
  <si>
    <t>Fadri Ari Sandi, S.A.N., M.P.A.</t>
  </si>
  <si>
    <t xml:space="preserve">Gita Khuzaimah
Maulida, M.I.Pol.</t>
  </si>
  <si>
    <t xml:space="preserve">Grace Prima Apriani
Sihombing, M.Sos.</t>
  </si>
  <si>
    <t xml:space="preserve">Helni Sadid Parassa,
S.Ip., M.Si.</t>
  </si>
  <si>
    <t xml:space="preserve">Husnaeni Fauziah
Amani, M.Si.</t>
  </si>
  <si>
    <t xml:space="preserve">Rafika Afriyanti,  S.Sos., M.P.A.</t>
  </si>
  <si>
    <t xml:space="preserve">Rezki Aguswidya
Utami, M.A.B.</t>
  </si>
  <si>
    <t xml:space="preserve">Rosiana Nurwa
Indah, S.Hum., M.A.</t>
  </si>
  <si>
    <t xml:space="preserve">Sarah Anistia, S.T.,
M.A</t>
  </si>
  <si>
    <t xml:space="preserve">Sekartaji Anisa Putri,
M.Si.</t>
  </si>
  <si>
    <t xml:space="preserve">Wira Puji Hendarwati,  M.A.</t>
  </si>
  <si>
    <t>Yusup Lintang Cahyo, S.I.P., M.A.P.</t>
  </si>
  <si>
    <t>Roman Hadi Saputro, M.I</t>
  </si>
  <si>
    <t>Total: 18</t>
  </si>
  <si>
    <t>FHISIP</t>
  </si>
  <si>
    <t>Rivaldy N Muhammad</t>
  </si>
  <si>
    <t>Yadi Apriadi, S.Kom.</t>
  </si>
  <si>
    <t xml:space="preserve">Azzahra Rabiatul
Adawiy</t>
  </si>
  <si>
    <t>Rahadian Kamandaru</t>
  </si>
  <si>
    <t>Dr. Endang Tri Irianingsih M.Sos.</t>
  </si>
  <si>
    <t>Arina Haque</t>
  </si>
  <si>
    <t>Irma Mega Putri</t>
  </si>
  <si>
    <t xml:space="preserve">Irva Sectio Caesaria
Sa</t>
  </si>
  <si>
    <t xml:space="preserve">Aprilia Cahyani
Prabudi</t>
  </si>
  <si>
    <t>M. Rizki Adiyaksa</t>
  </si>
  <si>
    <t>Total: 10</t>
  </si>
  <si>
    <t xml:space="preserve">Asia Susanti, S.S.
S.Kom</t>
  </si>
  <si>
    <t>Puryanto S.ST., M.Ds</t>
  </si>
  <si>
    <t>Ishmah Ariiqoh</t>
  </si>
  <si>
    <t>Radhitya Putranugraha, S.Psi.</t>
  </si>
  <si>
    <t>Raihan Rizky Andana, S.M.</t>
  </si>
  <si>
    <t>Muhammad Yahya Fadillah, S.Mat.</t>
  </si>
  <si>
    <t>Mohammad Sihabudin Al Qurtubi, S.Si.D.</t>
  </si>
  <si>
    <t>Wafiddin Naufal, S.T.</t>
  </si>
  <si>
    <t>Firya Syafira, S.Kom.</t>
  </si>
  <si>
    <t>SRI SEDIAN</t>
  </si>
  <si>
    <t>Grand Total: 136</t>
  </si>
  <si>
    <t>Oleh:</t>
  </si>
  <si>
    <t>Supervisor</t>
  </si>
  <si>
    <t>30/11/2026</t>
  </si>
  <si>
    <t>Hal. 10</t>
  </si>
  <si>
    <t>Tangerang Selatan, 30 November 2026</t>
  </si>
  <si>
    <t>Dekan FHISIP-UT,</t>
  </si>
  <si>
    <t>Dr. Meita Istianda, S.IP., M.Si.</t>
  </si>
  <si>
    <t>NIP 196705191987012001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</si>
</sst>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Aptos Narrow"/>
      <charset val="134"/>
      <scheme val="minor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b/>
      <sz val="10"/>
      <color rgb="FF000000"/>
      <name val="Times New Roman"/>
      <charset val="134"/>
    </font>
    <font>
      <sz val="10"/>
      <color rgb="FFFF0000"/>
      <name val="Times New Roman"/>
      <charset val="134"/>
    </font>
    <font>
      <sz val="11"/>
      <color theme="1"/>
      <name val="Times New Roman"/>
      <charset val="134"/>
    </font>
    <font>
      <sz val="18"/>
      <color rgb="FF000000"/>
      <name val="ºÚÌå"/>
      <charset val="134"/>
    </font>
    <font>
      <sz val="9"/>
      <color rgb="FF000000"/>
      <name val="ºÚÌå"/>
      <charset val="134"/>
    </font>
    <font>
      <sz val="8"/>
      <color rgb="FF000000"/>
      <name val="ºÚÌå"/>
      <charset val="134"/>
    </font>
    <font>
      <sz val="9"/>
      <color rgb="FF000000"/>
      <name val="ËÎÌå"/>
      <charset val="134"/>
    </font>
    <font>
      <b/>
      <sz val="9"/>
      <color rgb="FF000000"/>
      <name val="ºÚÌå"/>
      <charset val="134"/>
    </font>
    <font>
      <sz val="7"/>
      <color rgb="FF000000"/>
      <name val="Arial"/>
      <charset val="134"/>
    </font>
    <font>
      <sz val="10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8E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indexed="0"/>
      </left>
      <right/>
      <top/>
      <bottom style="thin">
        <color auto="1"/>
      </bottom>
      <diagonal/>
    </border>
  </borders>
  <cellStyleXfs count="17">
    <xf numFmtId="0" fontId="0" fillId="0" borderId="0"/>
    <xf numFmtId="0" fontId="6" fillId="3" borderId="0">
      <alignment horizontal="left" vertical="top"/>
    </xf>
    <xf numFmtId="0" fontId="7" fillId="3" borderId="0">
      <alignment horizontal="center" vertical="top"/>
    </xf>
    <xf numFmtId="0" fontId="8" fillId="3" borderId="0">
      <alignment horizontal="center" vertical="top"/>
    </xf>
    <xf numFmtId="0" fontId="9" fillId="9" borderId="0">
      <alignment horizontal="left"/>
    </xf>
    <xf numFmtId="0" fontId="9" fillId="3" borderId="0">
      <alignment horizontal="left" vertical="center"/>
    </xf>
    <xf numFmtId="0" fontId="7" fillId="3" borderId="0">
      <alignment horizontal="right" vertical="center"/>
    </xf>
    <xf numFmtId="0" fontId="7" fillId="3" borderId="0">
      <alignment horizontal="right" vertical="center"/>
    </xf>
    <xf numFmtId="0" fontId="9" fillId="9" borderId="0">
      <alignment horizontal="right"/>
    </xf>
    <xf numFmtId="0" fontId="9" fillId="3" borderId="0">
      <alignment horizontal="left" vertical="top"/>
    </xf>
    <xf numFmtId="0" fontId="9" fillId="3" borderId="0">
      <alignment horizontal="right" vertical="top"/>
    </xf>
    <xf numFmtId="0" fontId="10" fillId="3" borderId="0">
      <alignment horizontal="center" vertical="center"/>
    </xf>
    <xf numFmtId="0" fontId="8" fillId="3" borderId="0">
      <alignment horizontal="center" vertical="center"/>
    </xf>
    <xf numFmtId="0" fontId="11" fillId="3" borderId="0">
      <alignment horizontal="center" vertical="center"/>
    </xf>
    <xf numFmtId="0" fontId="7" fillId="3" borderId="0">
      <alignment horizontal="center" vertical="center"/>
    </xf>
    <xf numFmtId="0" fontId="7" fillId="3" borderId="0">
      <alignment horizontal="center" vertical="center"/>
    </xf>
    <xf numFmtId="0" fontId="8" fillId="3" borderId="0">
      <alignment horizontal="center" vertical="center"/>
    </xf>
  </cellStyleXfs>
  <cellXfs count="164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2" fillId="0" borderId="4" xfId="16" applyFont="1" applyFill="1" applyBorder="1" applyAlignment="1">
      <alignment horizontal="center" vertical="center" wrapText="1"/>
    </xf>
    <xf numFmtId="0" fontId="2" fillId="3" borderId="4" xfId="14" applyFont="1" applyBorder="1" applyAlignment="1">
      <alignment horizontal="center" vertical="center" wrapText="1"/>
    </xf>
    <xf numFmtId="0" fontId="2" fillId="0" borderId="4" xfId="14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12" applyFont="1" applyFill="1" applyBorder="1" applyAlignment="1">
      <alignment horizontal="center" vertical="center" wrapText="1"/>
    </xf>
    <xf numFmtId="0" fontId="2" fillId="0" borderId="6" xfId="15" applyFont="1" applyFill="1" applyBorder="1" applyAlignment="1">
      <alignment horizontal="center" vertical="center" wrapText="1"/>
    </xf>
    <xf numFmtId="0" fontId="2" fillId="0" borderId="6" xfId="2" applyFont="1" applyFill="1" applyBorder="1" applyAlignment="1">
      <alignment horizontal="center" vertical="top" wrapText="1"/>
    </xf>
    <xf numFmtId="0" fontId="2" fillId="0" borderId="4" xfId="13" applyFont="1" applyFill="1" applyBorder="1" applyAlignment="1">
      <alignment horizontal="center" vertical="center" wrapText="1"/>
    </xf>
    <xf numFmtId="0" fontId="2" fillId="0" borderId="12" xfId="15" applyFont="1" applyFill="1" applyBorder="1" applyAlignment="1">
      <alignment horizontal="center" vertical="center" wrapText="1"/>
    </xf>
    <xf numFmtId="0" fontId="2" fillId="0" borderId="4" xfId="6" applyFont="1" applyFill="1" applyBorder="1" applyAlignment="1">
      <alignment horizontal="center" vertical="center" wrapText="1"/>
    </xf>
    <xf numFmtId="0" fontId="2" fillId="3" borderId="4" xfId="6" applyFont="1" applyBorder="1" applyAlignment="1">
      <alignment horizontal="center" vertical="center" wrapText="1"/>
    </xf>
    <xf numFmtId="0" fontId="2" fillId="0" borderId="6" xfId="7" applyFont="1" applyFill="1" applyBorder="1" applyAlignment="1">
      <alignment horizontal="center" vertical="center" wrapText="1"/>
    </xf>
    <xf numFmtId="0" fontId="2" fillId="0" borderId="6" xfId="7" applyFont="1" applyFill="1" applyBorder="1" applyAlignment="1">
      <alignment horizontal="right" vertical="center" wrapText="1"/>
    </xf>
    <xf numFmtId="0" fontId="2" fillId="2" borderId="4" xfId="6" applyFont="1" applyFill="1" applyBorder="1" applyAlignment="1">
      <alignment horizontal="center" vertical="center" wrapText="1"/>
    </xf>
    <xf numFmtId="0" fontId="2" fillId="2" borderId="6" xfId="7" applyFont="1" applyFill="1" applyBorder="1" applyAlignment="1">
      <alignment horizontal="center" vertical="center" wrapText="1"/>
    </xf>
    <xf numFmtId="0" fontId="2" fillId="2" borderId="6" xfId="7" applyFont="1" applyFill="1" applyBorder="1" applyAlignment="1">
      <alignment horizontal="right" vertical="center" wrapText="1"/>
    </xf>
    <xf numFmtId="0" fontId="2" fillId="3" borderId="6" xfId="7" applyFont="1" applyBorder="1" applyAlignment="1">
      <alignment horizontal="center" vertical="center" wrapText="1"/>
    </xf>
    <xf numFmtId="0" fontId="2" fillId="3" borderId="6" xfId="7" applyFont="1" applyBorder="1" applyAlignment="1">
      <alignment horizontal="right" vertical="center" wrapText="1"/>
    </xf>
    <xf numFmtId="0" fontId="2" fillId="3" borderId="6" xfId="7" applyFont="1" applyBorder="1" applyAlignment="1">
      <alignment vertical="center" wrapText="1"/>
    </xf>
    <xf numFmtId="0" fontId="2" fillId="4" borderId="4" xfId="6" applyFont="1" applyFill="1" applyBorder="1" applyAlignment="1">
      <alignment horizontal="center" vertical="center" wrapText="1"/>
    </xf>
    <xf numFmtId="0" fontId="2" fillId="4" borderId="6" xfId="7" applyFont="1" applyFill="1" applyBorder="1" applyAlignment="1">
      <alignment horizontal="center" vertical="center" wrapText="1"/>
    </xf>
    <xf numFmtId="0" fontId="2" fillId="4" borderId="6" xfId="7" applyFont="1" applyFill="1" applyBorder="1" applyAlignment="1">
      <alignment horizontal="right" vertical="center" wrapText="1"/>
    </xf>
    <xf numFmtId="0" fontId="2" fillId="8" borderId="4" xfId="6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6" xfId="7" applyFont="1" applyBorder="1" applyAlignment="1">
      <alignment vertical="center"/>
    </xf>
    <xf numFmtId="0" fontId="2" fillId="3" borderId="4" xfId="7" applyFont="1" applyBorder="1" applyAlignment="1">
      <alignment vertical="center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left" wrapText="1"/>
    </xf>
    <xf numFmtId="0" fontId="2" fillId="3" borderId="5" xfId="7" applyFont="1" applyBorder="1" applyAlignment="1">
      <alignment vertical="center" wrapText="1"/>
    </xf>
    <xf numFmtId="0" fontId="2" fillId="3" borderId="7" xfId="7" applyFont="1" applyBorder="1" applyAlignment="1">
      <alignment vertical="center" wrapText="1"/>
    </xf>
    <xf numFmtId="0" fontId="4" fillId="4" borderId="0" xfId="0" applyFont="1" applyFill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" fillId="8" borderId="0" xfId="0" applyFont="1" applyFill="1" applyAlignment="1">
      <alignment horizont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wrapText="1"/>
    </xf>
    <xf numFmtId="0" fontId="1" fillId="8" borderId="0" xfId="0" applyFont="1" applyFill="1"/>
    <xf numFmtId="0" fontId="1" fillId="2" borderId="0" xfId="0" applyFont="1" applyFill="1"/>
    <xf numFmtId="0" fontId="2" fillId="8" borderId="6" xfId="7" applyFont="1" applyFill="1" applyBorder="1" applyAlignment="1">
      <alignment horizontal="center" vertical="center" wrapText="1"/>
    </xf>
    <xf numFmtId="0" fontId="2" fillId="8" borderId="6" xfId="7" applyFont="1" applyFill="1" applyBorder="1" applyAlignment="1">
      <alignment horizontal="right" vertical="center" wrapText="1"/>
    </xf>
    <xf numFmtId="0" fontId="2" fillId="0" borderId="4" xfId="6" applyFont="1" applyFill="1" applyBorder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2" fillId="0" borderId="6" xfId="7" applyFont="1" applyFill="1" applyBorder="1" applyAlignment="1">
      <alignment vertical="center" wrapText="1"/>
    </xf>
    <xf numFmtId="14" fontId="2" fillId="0" borderId="0" xfId="9" applyNumberFormat="1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8" borderId="0" xfId="0" applyFont="1" applyFill="1" applyAlignment="1">
      <alignment horizontal="left" vertical="top" wrapText="1"/>
    </xf>
    <xf numFmtId="0" fontId="2" fillId="0" borderId="0" xfId="9" applyFont="1" applyFill="1" applyAlignment="1">
      <alignment horizontal="left" vertical="top" wrapText="1"/>
    </xf>
    <xf numFmtId="0" fontId="2" fillId="0" borderId="0" xfId="1" applyFont="1" applyFill="1" applyAlignment="1">
      <alignment horizontal="left" vertical="top" wrapText="1"/>
    </xf>
    <xf numFmtId="0" fontId="2" fillId="0" borderId="0" xfId="9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0" borderId="0" xfId="10" applyFont="1" applyFill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0" fontId="3" fillId="0" borderId="1" xfId="1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8" xfId="12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5" xfId="7" applyFont="1" applyFill="1" applyBorder="1" applyAlignment="1">
      <alignment horizontal="center" vertical="center" wrapText="1"/>
    </xf>
    <xf numFmtId="0" fontId="2" fillId="0" borderId="7" xfId="7" applyFont="1" applyFill="1" applyBorder="1" applyAlignment="1">
      <alignment horizontal="center" vertical="center" wrapText="1"/>
    </xf>
    <xf numFmtId="0" fontId="2" fillId="0" borderId="4" xfId="5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4" xfId="6" applyFont="1" applyFill="1" applyBorder="1" applyAlignment="1">
      <alignment horizontal="center" vertical="center" wrapText="1"/>
    </xf>
    <xf numFmtId="0" fontId="2" fillId="0" borderId="7" xfId="6" applyFont="1" applyFill="1" applyBorder="1" applyAlignment="1">
      <alignment horizontal="center" vertical="center" wrapText="1"/>
    </xf>
    <xf numFmtId="0" fontId="2" fillId="0" borderId="4" xfId="7" applyFont="1" applyFill="1" applyBorder="1" applyAlignment="1">
      <alignment horizontal="center" vertical="center" wrapText="1"/>
    </xf>
    <xf numFmtId="0" fontId="2" fillId="0" borderId="4" xfId="7" applyFont="1" applyFill="1" applyBorder="1" applyAlignment="1">
      <alignment horizontal="right" vertical="center" wrapText="1"/>
    </xf>
    <xf numFmtId="0" fontId="1" fillId="0" borderId="7" xfId="0" applyFont="1" applyBorder="1" applyAlignment="1">
      <alignment horizontal="right" vertical="center" wrapText="1"/>
    </xf>
    <xf numFmtId="0" fontId="2" fillId="0" borderId="4" xfId="8" applyFont="1" applyFill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7" xfId="0" applyFont="1" applyBorder="1" applyAlignment="1">
      <alignment horizontal="right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3" borderId="4" xfId="5" applyFont="1" applyBorder="1" applyAlignment="1">
      <alignment horizontal="left" vertical="center" wrapText="1"/>
    </xf>
    <xf numFmtId="0" fontId="1" fillId="8" borderId="5" xfId="0" applyFont="1" applyFill="1" applyBorder="1" applyAlignment="1">
      <alignment horizontal="left" vertical="center" wrapText="1"/>
    </xf>
    <xf numFmtId="0" fontId="2" fillId="3" borderId="4" xfId="6" applyFont="1" applyBorder="1" applyAlignment="1">
      <alignment horizontal="center" vertical="center" wrapText="1"/>
    </xf>
    <xf numFmtId="0" fontId="2" fillId="3" borderId="7" xfId="6" applyFont="1" applyBorder="1" applyAlignment="1">
      <alignment horizontal="center" vertical="center" wrapText="1"/>
    </xf>
    <xf numFmtId="0" fontId="2" fillId="3" borderId="4" xfId="7" applyFont="1" applyBorder="1" applyAlignment="1">
      <alignment horizontal="center" vertical="center" wrapText="1"/>
    </xf>
    <xf numFmtId="0" fontId="2" fillId="3" borderId="5" xfId="7" applyFont="1" applyBorder="1" applyAlignment="1">
      <alignment horizontal="center" vertical="center" wrapText="1"/>
    </xf>
    <xf numFmtId="0" fontId="2" fillId="3" borderId="7" xfId="7" applyFont="1" applyBorder="1" applyAlignment="1">
      <alignment horizontal="center" vertical="center" wrapText="1"/>
    </xf>
    <xf numFmtId="0" fontId="2" fillId="3" borderId="4" xfId="7" applyFont="1" applyBorder="1" applyAlignment="1">
      <alignment horizontal="right" vertical="center" wrapText="1"/>
    </xf>
    <xf numFmtId="0" fontId="1" fillId="8" borderId="7" xfId="0" applyFont="1" applyFill="1" applyBorder="1" applyAlignment="1">
      <alignment horizontal="right" vertical="center" wrapText="1"/>
    </xf>
    <xf numFmtId="0" fontId="2" fillId="0" borderId="4" xfId="4" applyFont="1" applyFill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8" borderId="5" xfId="0" applyFont="1" applyFill="1" applyBorder="1" applyAlignment="1">
      <alignment horizontal="left" wrapText="1"/>
    </xf>
    <xf numFmtId="0" fontId="1" fillId="5" borderId="5" xfId="0" applyFont="1" applyFill="1" applyBorder="1" applyAlignment="1">
      <alignment horizontal="left" wrapText="1"/>
    </xf>
    <xf numFmtId="0" fontId="1" fillId="6" borderId="5" xfId="0" applyFont="1" applyFill="1" applyBorder="1" applyAlignment="1">
      <alignment horizontal="left" wrapText="1"/>
    </xf>
    <xf numFmtId="0" fontId="1" fillId="7" borderId="5" xfId="0" applyFont="1" applyFill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2" fillId="2" borderId="4" xfId="5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2" fillId="2" borderId="4" xfId="6" applyFont="1" applyFill="1" applyBorder="1" applyAlignment="1">
      <alignment horizontal="center" vertical="center" wrapText="1"/>
    </xf>
    <xf numFmtId="0" fontId="2" fillId="2" borderId="7" xfId="6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4" xfId="7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2" borderId="7" xfId="7" applyFont="1" applyFill="1" applyBorder="1" applyAlignment="1">
      <alignment horizontal="center" vertical="center" wrapText="1"/>
    </xf>
    <xf numFmtId="0" fontId="2" fillId="2" borderId="4" xfId="7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right" vertical="center" wrapText="1"/>
    </xf>
    <xf numFmtId="0" fontId="2" fillId="9" borderId="4" xfId="8" applyFont="1" applyBorder="1" applyAlignment="1">
      <alignment horizontal="right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2" fillId="0" borderId="5" xfId="5" applyFont="1" applyFill="1" applyBorder="1" applyAlignment="1">
      <alignment horizontal="left" vertical="center" wrapText="1"/>
    </xf>
    <xf numFmtId="0" fontId="2" fillId="0" borderId="7" xfId="5" applyFont="1" applyFill="1" applyBorder="1" applyAlignment="1">
      <alignment horizontal="left" vertical="center" wrapText="1"/>
    </xf>
    <xf numFmtId="0" fontId="2" fillId="0" borderId="5" xfId="8" applyFont="1" applyFill="1" applyBorder="1" applyAlignment="1">
      <alignment horizontal="right" wrapText="1"/>
    </xf>
    <xf numFmtId="0" fontId="2" fillId="0" borderId="7" xfId="8" applyFont="1" applyFill="1" applyBorder="1" applyAlignment="1">
      <alignment horizontal="right" wrapText="1"/>
    </xf>
    <xf numFmtId="0" fontId="2" fillId="0" borderId="7" xfId="7" applyFont="1" applyFill="1" applyBorder="1" applyAlignment="1">
      <alignment horizontal="right" vertical="center" wrapText="1"/>
    </xf>
    <xf numFmtId="0" fontId="2" fillId="2" borderId="5" xfId="7" applyFont="1" applyFill="1" applyBorder="1" applyAlignment="1">
      <alignment horizontal="center" vertical="center" wrapText="1"/>
    </xf>
    <xf numFmtId="0" fontId="2" fillId="8" borderId="4" xfId="5" applyFont="1" applyFill="1" applyBorder="1" applyAlignment="1">
      <alignment horizontal="left" vertical="center" wrapText="1"/>
    </xf>
    <xf numFmtId="0" fontId="2" fillId="8" borderId="4" xfId="6" applyFont="1" applyFill="1" applyBorder="1" applyAlignment="1">
      <alignment horizontal="center" vertical="center" wrapText="1"/>
    </xf>
    <xf numFmtId="0" fontId="2" fillId="8" borderId="7" xfId="6" applyFont="1" applyFill="1" applyBorder="1" applyAlignment="1">
      <alignment horizontal="center" vertical="center" wrapText="1"/>
    </xf>
    <xf numFmtId="0" fontId="2" fillId="8" borderId="4" xfId="7" applyFont="1" applyFill="1" applyBorder="1" applyAlignment="1">
      <alignment horizontal="center" vertical="center" wrapText="1"/>
    </xf>
    <xf numFmtId="0" fontId="2" fillId="8" borderId="7" xfId="7" applyFont="1" applyFill="1" applyBorder="1" applyAlignment="1">
      <alignment horizontal="center" vertical="center" wrapText="1"/>
    </xf>
    <xf numFmtId="0" fontId="2" fillId="8" borderId="4" xfId="7" applyFont="1" applyFill="1" applyBorder="1" applyAlignment="1">
      <alignment horizontal="right" vertical="center" wrapText="1"/>
    </xf>
    <xf numFmtId="0" fontId="2" fillId="2" borderId="5" xfId="5" applyFont="1" applyFill="1" applyBorder="1" applyAlignment="1">
      <alignment horizontal="left" vertical="center" wrapText="1"/>
    </xf>
    <xf numFmtId="0" fontId="2" fillId="2" borderId="7" xfId="5" applyFont="1" applyFill="1" applyBorder="1" applyAlignment="1">
      <alignment horizontal="left" vertical="center" wrapText="1"/>
    </xf>
    <xf numFmtId="0" fontId="2" fillId="3" borderId="9" xfId="7" applyFont="1" applyBorder="1" applyAlignment="1">
      <alignment horizontal="right" vertical="center" wrapText="1"/>
    </xf>
    <xf numFmtId="0" fontId="1" fillId="8" borderId="11" xfId="0" applyFont="1" applyFill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8" borderId="5" xfId="7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right" vertical="center" wrapText="1"/>
    </xf>
    <xf numFmtId="0" fontId="2" fillId="4" borderId="4" xfId="7" applyFont="1" applyFill="1" applyBorder="1" applyAlignment="1">
      <alignment horizontal="right" vertical="center" wrapText="1"/>
    </xf>
    <xf numFmtId="0" fontId="2" fillId="4" borderId="7" xfId="7" applyFont="1" applyFill="1" applyBorder="1" applyAlignment="1">
      <alignment horizontal="right" vertical="center" wrapText="1"/>
    </xf>
    <xf numFmtId="0" fontId="2" fillId="4" borderId="4" xfId="7" applyFont="1" applyFill="1" applyBorder="1" applyAlignment="1">
      <alignment horizontal="center" vertical="center" wrapText="1"/>
    </xf>
    <xf numFmtId="0" fontId="2" fillId="4" borderId="7" xfId="7" applyFont="1" applyFill="1" applyBorder="1" applyAlignment="1">
      <alignment horizontal="center" vertical="center" wrapText="1"/>
    </xf>
    <xf numFmtId="0" fontId="2" fillId="4" borderId="5" xfId="7" applyFont="1" applyFill="1" applyBorder="1" applyAlignment="1">
      <alignment horizontal="center" vertical="center" wrapText="1"/>
    </xf>
    <xf numFmtId="0" fontId="2" fillId="4" borderId="4" xfId="6" applyFont="1" applyFill="1" applyBorder="1" applyAlignment="1">
      <alignment horizontal="center" vertical="center" wrapText="1"/>
    </xf>
    <xf numFmtId="0" fontId="2" fillId="4" borderId="7" xfId="6" applyFont="1" applyFill="1" applyBorder="1" applyAlignment="1">
      <alignment horizontal="center" vertical="center" wrapText="1"/>
    </xf>
    <xf numFmtId="0" fontId="2" fillId="4" borderId="4" xfId="5" applyFont="1" applyFill="1" applyBorder="1" applyAlignment="1">
      <alignment horizontal="left" vertical="center" wrapText="1"/>
    </xf>
    <xf numFmtId="0" fontId="2" fillId="4" borderId="5" xfId="5" applyFont="1" applyFill="1" applyBorder="1" applyAlignment="1">
      <alignment horizontal="left" vertical="center" wrapText="1"/>
    </xf>
    <xf numFmtId="0" fontId="2" fillId="4" borderId="7" xfId="5" applyFont="1" applyFill="1" applyBorder="1" applyAlignment="1">
      <alignment horizontal="left" vertical="center" wrapText="1"/>
    </xf>
    <xf numFmtId="0" fontId="2" fillId="0" borderId="5" xfId="4" applyFont="1" applyFill="1" applyBorder="1" applyAlignment="1">
      <alignment horizontal="left" wrapText="1"/>
    </xf>
    <xf numFmtId="0" fontId="2" fillId="0" borderId="7" xfId="4" applyFont="1" applyFill="1" applyBorder="1" applyAlignment="1">
      <alignment horizontal="left" wrapText="1"/>
    </xf>
    <xf numFmtId="0" fontId="2" fillId="0" borderId="4" xfId="14" applyFont="1" applyFill="1" applyBorder="1" applyAlignment="1">
      <alignment horizontal="center" vertical="center" wrapText="1"/>
    </xf>
    <xf numFmtId="0" fontId="2" fillId="0" borderId="4" xfId="16" applyFont="1" applyFill="1" applyBorder="1" applyAlignment="1">
      <alignment horizontal="center" vertical="center" wrapText="1"/>
    </xf>
    <xf numFmtId="0" fontId="2" fillId="0" borderId="4" xfId="12" applyFont="1" applyFill="1" applyBorder="1" applyAlignment="1">
      <alignment horizontal="center" vertical="center" wrapText="1"/>
    </xf>
    <xf numFmtId="0" fontId="2" fillId="0" borderId="4" xfId="15" applyFont="1" applyFill="1" applyBorder="1" applyAlignment="1">
      <alignment horizontal="center" vertical="center" wrapText="1"/>
    </xf>
    <xf numFmtId="0" fontId="2" fillId="0" borderId="4" xfId="3" applyFont="1" applyFill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2" fillId="0" borderId="4" xfId="7" applyFont="1" applyFill="1" applyBorder="1" applyAlignment="1">
      <alignment vertical="center" wrapText="1"/>
    </xf>
    <xf numFmtId="0" fontId="2" fillId="0" borderId="5" xfId="7" applyFont="1" applyFill="1" applyBorder="1" applyAlignment="1">
      <alignment vertical="center" wrapText="1"/>
    </xf>
    <xf numFmtId="0" fontId="2" fillId="0" borderId="7" xfId="7" applyFont="1" applyFill="1" applyBorder="1" applyAlignment="1">
      <alignment vertical="center" wrapText="1"/>
    </xf>
    <xf numFmtId="0" fontId="12" fillId="0" borderId="4" xfId="7" applyFont="1" applyFill="1" applyBorder="1" applyAlignment="1">
      <alignment vertical="center" wrapText="1"/>
    </xf>
    <xf numFmtId="0" fontId="2" fillId="2" borderId="4" xfId="7" applyFont="1" applyFill="1" applyBorder="1" applyAlignment="1">
      <alignment vertical="center" wrapText="1"/>
    </xf>
    <xf numFmtId="0" fontId="2" fillId="2" borderId="5" xfId="7" applyFont="1" applyFill="1" applyBorder="1" applyAlignment="1">
      <alignment vertical="center" wrapText="1"/>
    </xf>
    <xf numFmtId="0" fontId="2" fillId="2" borderId="7" xfId="7" applyFont="1" applyFill="1" applyBorder="1" applyAlignment="1">
      <alignment vertical="center" wrapText="1"/>
    </xf>
  </cellXfs>
  <cellStyles count="17">
    <cellStyle name="Normal" xfId="0" builtinId="0"/>
    <cellStyle name="S0" xfId="1"/>
    <cellStyle name="S10" xfId="2"/>
    <cellStyle name="S11" xfId="3"/>
    <cellStyle name="S12" xfId="4"/>
    <cellStyle name="S13" xfId="5"/>
    <cellStyle name="S14" xfId="6"/>
    <cellStyle name="S15" xfId="7"/>
    <cellStyle name="S16" xfId="8"/>
    <cellStyle name="S2" xfId="9"/>
    <cellStyle name="S3" xfId="10"/>
    <cellStyle name="S4" xfId="11"/>
    <cellStyle name="S5" xfId="12"/>
    <cellStyle name="S6" xfId="13"/>
    <cellStyle name="S7" xfId="14"/>
    <cellStyle name="S8" xfId="15"/>
    <cellStyle name="S9" xfId="16"/>
  </cellStyles>
  <dxfs count="0"/>
  <tableStyles count="0" defaultTableStyle="TableStyleMedium2" defaultPivotStyle="PivotStyleLight16"/>
  <colors>
    <mruColors>
      <color rgb="FFFFFF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18</xdr:col>
      <xdr:colOff>729241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74320"/>
          <a:ext cx="52819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18</xdr:col>
      <xdr:colOff>729241</xdr:colOff>
      <xdr:row>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12420"/>
          <a:ext cx="52819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10"/>
  <sheetViews>
    <sheetView tabSelected="1" view="pageBreakPreview" zoomScale="120" zoomScaleNormal="120" zoomScaleSheetLayoutView="120" workbookViewId="0">
      <pane ySplit="11" topLeftCell="A12" activePane="bottomLeft" state="frozen"/>
      <selection pane="bottomLeft" activeCell="B13" sqref="B13:F13"/>
    </sheetView>
  </sheetViews>
  <sheetFormatPr defaultColWidth="9.125" defaultRowHeight="12.75"/>
  <cols>
    <col min="1" max="1" width="0.25" style="1" customWidth="1"/>
    <col min="2" max="2" width="0.875" style="1" customWidth="1"/>
    <col min="3" max="3" width="5.75" style="1" customWidth="1"/>
    <col min="4" max="4" width="0.875" style="1" customWidth="1"/>
    <col min="5" max="5" width="9.875" style="1" customWidth="1"/>
    <col min="6" max="6" width="0.75" style="1" customWidth="1"/>
    <col min="7" max="7" width="0.375" style="1" customWidth="1"/>
    <col min="8" max="8" width="7.375" style="1" customWidth="1"/>
    <col min="9" max="9" width="0.875" style="1" customWidth="1"/>
    <col min="10" max="10" width="0.125" style="1" customWidth="1"/>
    <col min="11" max="11" width="7" style="5" customWidth="1"/>
    <col min="12" max="12" width="6" style="6" customWidth="1"/>
    <col min="13" max="13" width="3.125" style="5" customWidth="1"/>
    <col min="14" max="14" width="4.125" style="5" customWidth="1"/>
    <col min="15" max="15" width="6" style="7" customWidth="1"/>
    <col min="16" max="16" width="2.125" style="7" customWidth="1"/>
    <col min="17" max="17" width="4.25" style="7" customWidth="1"/>
    <col min="18" max="18" width="5.375" style="7" hidden="1" customWidth="1"/>
    <col min="19" max="19" width="9.875" style="7" customWidth="1"/>
    <col min="20" max="20" width="1.375" style="7" customWidth="1"/>
    <col min="21" max="21" width="2.25" style="7" customWidth="1"/>
    <col min="22" max="22" width="3" style="7" customWidth="1"/>
    <col min="23" max="24" width="5.25" style="7" hidden="1" customWidth="1"/>
    <col min="25" max="26" width="5.25" style="7" customWidth="1"/>
    <col min="27" max="28" width="3.375" style="7" customWidth="1"/>
    <col min="29" max="29" width="5.25" style="7" customWidth="1"/>
    <col min="30" max="30" width="1.875" style="5" customWidth="1"/>
    <col min="31" max="31" width="5.25" style="5" customWidth="1"/>
    <col min="32" max="32" width="6.25" style="1" customWidth="1"/>
    <col min="33" max="33" width="7.125" style="1" customWidth="1"/>
    <col min="34" max="34" width="5.25" style="1" customWidth="1"/>
    <col min="35" max="35" width="0.875" style="1" customWidth="1"/>
    <col min="36" max="36" width="0.25" style="1" customWidth="1"/>
    <col min="37" max="37" width="9.125" style="1"/>
    <col min="38" max="38" width="14.875" style="1" customWidth="1"/>
    <col min="39" max="16384" width="9.125" style="1"/>
  </cols>
  <sheetData>
    <row r="1" spans="1:37" ht="6.2" customHeight="1">
      <c r="A1" s="57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5"/>
      <c r="M1" s="54"/>
      <c r="N1" s="54"/>
      <c r="O1" s="54"/>
      <c r="P1" s="54"/>
    </row>
    <row r="2" spans="1:37" ht="9.2" customHeigh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  <c r="M2" s="54"/>
      <c r="N2" s="54"/>
      <c r="O2" s="54"/>
      <c r="P2" s="54"/>
      <c r="Q2" s="58" t="s">
        <v>1</v>
      </c>
      <c r="R2" s="59"/>
      <c r="S2" s="59"/>
      <c r="T2" s="60"/>
      <c r="U2" s="60"/>
    </row>
    <row r="3" spans="1:37" ht="4.7" customHeight="1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5"/>
      <c r="M3" s="54"/>
      <c r="N3" s="54"/>
      <c r="O3" s="54"/>
      <c r="P3" s="54"/>
      <c r="Q3" s="59"/>
      <c r="R3" s="59"/>
      <c r="S3" s="59"/>
      <c r="T3" s="60"/>
      <c r="U3" s="60"/>
      <c r="AB3" s="61" t="s">
        <v>2</v>
      </c>
      <c r="AC3" s="62"/>
      <c r="AD3" s="62"/>
      <c r="AE3" s="62"/>
      <c r="AF3" s="62"/>
      <c r="AG3" s="62"/>
      <c r="AH3" s="62"/>
    </row>
    <row r="4" spans="1:37" ht="1.5" customHeight="1">
      <c r="L4" s="43"/>
      <c r="AB4" s="62"/>
      <c r="AC4" s="62"/>
      <c r="AD4" s="62"/>
      <c r="AE4" s="62"/>
      <c r="AF4" s="62"/>
      <c r="AG4" s="62"/>
      <c r="AH4" s="62"/>
    </row>
    <row r="5" spans="1:37" ht="0.75" customHeight="1">
      <c r="L5" s="43"/>
      <c r="AB5" s="62"/>
      <c r="AC5" s="62"/>
      <c r="AD5" s="62"/>
      <c r="AE5" s="62"/>
      <c r="AF5" s="62"/>
      <c r="AG5" s="62"/>
      <c r="AH5" s="62"/>
    </row>
    <row r="6" spans="1:37" ht="2.25" customHeight="1">
      <c r="L6" s="43"/>
      <c r="AB6" s="62"/>
      <c r="AC6" s="62"/>
      <c r="AD6" s="62"/>
      <c r="AE6" s="62"/>
      <c r="AF6" s="62"/>
      <c r="AG6" s="62"/>
      <c r="AH6" s="62"/>
    </row>
    <row r="7" spans="1:37" ht="0.75" customHeight="1">
      <c r="L7" s="43"/>
      <c r="AB7" s="62"/>
      <c r="AC7" s="62"/>
      <c r="AD7" s="62"/>
      <c r="AE7" s="62"/>
      <c r="AF7" s="62"/>
      <c r="AG7" s="62"/>
      <c r="AH7" s="62"/>
    </row>
    <row r="8" spans="1:37" ht="3.75" customHeight="1">
      <c r="L8" s="43"/>
      <c r="AB8" s="62"/>
      <c r="AC8" s="62"/>
      <c r="AD8" s="62"/>
      <c r="AE8" s="62"/>
      <c r="AF8" s="62"/>
      <c r="AG8" s="62"/>
      <c r="AH8" s="62"/>
    </row>
    <row r="9" spans="1:37" ht="3" customHeight="1">
      <c r="L9" s="43"/>
    </row>
    <row r="10" spans="1:37" ht="25.5">
      <c r="B10" s="63" t="s">
        <v>3</v>
      </c>
      <c r="C10" s="64"/>
      <c r="D10" s="64"/>
      <c r="E10" s="65"/>
      <c r="F10" s="63" t="s">
        <v>4</v>
      </c>
      <c r="G10" s="64"/>
      <c r="H10" s="64"/>
      <c r="I10" s="64"/>
      <c r="J10" s="65"/>
      <c r="K10" s="8" t="s">
        <v>5</v>
      </c>
      <c r="L10" s="9" t="s">
        <v>6</v>
      </c>
      <c r="M10" s="151" t="s">
        <v>7</v>
      </c>
      <c r="N10" s="83"/>
      <c r="O10" s="12" t="s">
        <v>8</v>
      </c>
      <c r="P10" s="152" t="s">
        <v>9</v>
      </c>
      <c r="Q10" s="83"/>
      <c r="R10" s="10" t="s">
        <v>10</v>
      </c>
      <c r="S10" s="8" t="s">
        <v>11</v>
      </c>
      <c r="T10" s="153" t="s">
        <v>12</v>
      </c>
      <c r="U10" s="83"/>
      <c r="V10" s="84"/>
      <c r="W10" s="13" t="s">
        <v>13</v>
      </c>
      <c r="X10" s="13" t="s">
        <v>14</v>
      </c>
      <c r="Y10" s="13" t="s">
        <v>15</v>
      </c>
      <c r="Z10" s="13" t="s">
        <v>16</v>
      </c>
      <c r="AA10" s="154" t="s">
        <v>17</v>
      </c>
      <c r="AB10" s="84"/>
      <c r="AC10" s="13" t="s">
        <v>18</v>
      </c>
      <c r="AD10" s="155"/>
      <c r="AE10" s="156"/>
      <c r="AF10" s="14"/>
      <c r="AG10" s="15" t="s">
        <v>19</v>
      </c>
      <c r="AH10" s="69" t="s">
        <v>20</v>
      </c>
      <c r="AI10" s="65"/>
    </row>
    <row r="11" spans="1:37" ht="12.95" customHeight="1">
      <c r="B11" s="66"/>
      <c r="C11" s="67"/>
      <c r="D11" s="67"/>
      <c r="E11" s="68"/>
      <c r="F11" s="66"/>
      <c r="G11" s="67"/>
      <c r="H11" s="67"/>
      <c r="I11" s="67"/>
      <c r="J11" s="68"/>
      <c r="K11" s="10"/>
      <c r="L11" s="9"/>
      <c r="M11" s="151" t="s">
        <v>21</v>
      </c>
      <c r="N11" s="83"/>
      <c r="O11" s="13"/>
      <c r="P11" s="151"/>
      <c r="Q11" s="83"/>
      <c r="R11" s="10"/>
      <c r="S11" s="10"/>
      <c r="T11" s="154"/>
      <c r="U11" s="83"/>
      <c r="V11" s="84"/>
      <c r="W11" s="13"/>
      <c r="X11" s="13"/>
      <c r="Y11" s="13"/>
      <c r="Z11" s="13"/>
      <c r="AA11" s="154"/>
      <c r="AB11" s="84"/>
      <c r="AC11" s="13"/>
      <c r="AD11" s="154"/>
      <c r="AE11" s="84"/>
      <c r="AF11" s="13"/>
      <c r="AG11" s="16" t="s">
        <v>22</v>
      </c>
      <c r="AH11" s="70"/>
      <c r="AI11" s="68"/>
    </row>
    <row r="12" spans="1:37" ht="16.35" customHeight="1">
      <c r="B12" s="94" t="s">
        <v>23</v>
      </c>
      <c r="C12" s="95"/>
      <c r="D12" s="95"/>
      <c r="E12" s="95"/>
      <c r="F12" s="95"/>
      <c r="G12" s="95"/>
      <c r="H12" s="95"/>
      <c r="I12" s="95"/>
      <c r="J12" s="95"/>
      <c r="K12" s="95"/>
      <c r="L12" s="96"/>
      <c r="M12" s="95"/>
      <c r="N12" s="95"/>
      <c r="O12" s="95"/>
      <c r="P12" s="95"/>
      <c r="Q12" s="95"/>
      <c r="R12" s="95"/>
      <c r="S12" s="95"/>
      <c r="T12" s="97"/>
      <c r="U12" s="97"/>
      <c r="V12" s="97"/>
      <c r="W12" s="95"/>
      <c r="X12" s="95"/>
      <c r="Y12" s="95"/>
      <c r="Z12" s="98"/>
      <c r="AA12" s="99"/>
      <c r="AB12" s="99"/>
      <c r="AC12" s="95"/>
      <c r="AD12" s="95"/>
      <c r="AE12" s="95"/>
      <c r="AF12" s="95"/>
      <c r="AG12" s="95"/>
      <c r="AH12" s="95"/>
      <c r="AI12" s="100"/>
    </row>
    <row r="13" spans="2:37" ht="16.35" customHeight="1">
      <c r="B13" s="73" t="s">
        <v>24</v>
      </c>
      <c r="C13" s="74"/>
      <c r="D13" s="74"/>
      <c r="E13" s="74"/>
      <c r="F13" s="74"/>
      <c r="G13" s="73">
        <v>148</v>
      </c>
      <c r="H13" s="74"/>
      <c r="I13" s="74"/>
      <c r="J13" s="74"/>
      <c r="K13" s="17">
        <v>21</v>
      </c>
      <c r="L13" s="18">
        <f>K13-M13</f>
        <v>21</v>
      </c>
      <c r="M13" s="75">
        <f>S13+T13+Z13+AA13+AC13</f>
        <v>0</v>
      </c>
      <c r="N13" s="76"/>
      <c r="O13" s="19"/>
      <c r="P13" s="75"/>
      <c r="Q13" s="83"/>
      <c r="R13" s="17"/>
      <c r="S13" s="17"/>
      <c r="T13" s="77"/>
      <c r="U13" s="83"/>
      <c r="V13" s="84"/>
      <c r="W13" s="19"/>
      <c r="X13" s="19"/>
      <c r="Y13" s="19"/>
      <c r="Z13" s="19"/>
      <c r="AA13" s="77"/>
      <c r="AB13" s="84"/>
      <c r="AC13" s="19"/>
      <c r="AD13" s="89">
        <f>K13-M13</f>
        <v>21</v>
      </c>
      <c r="AE13" s="91"/>
      <c r="AF13" s="20"/>
      <c r="AG13" s="20"/>
      <c r="AH13" s="78"/>
      <c r="AI13" s="79"/>
      <c r="AK13" s="1">
        <v>1</v>
      </c>
    </row>
    <row r="14" spans="2:37" ht="24.95" customHeight="1">
      <c r="B14" s="73" t="s">
        <v>25</v>
      </c>
      <c r="C14" s="74"/>
      <c r="D14" s="74"/>
      <c r="E14" s="74"/>
      <c r="F14" s="74"/>
      <c r="G14" s="73">
        <v>227</v>
      </c>
      <c r="H14" s="74"/>
      <c r="I14" s="74"/>
      <c r="J14" s="74"/>
      <c r="K14" s="17">
        <v>21</v>
      </c>
      <c r="L14" s="18">
        <f>K14-M14</f>
        <v>21</v>
      </c>
      <c r="M14" s="75">
        <f>S14+T14+Z14+AA14+AC14</f>
        <v>0</v>
      </c>
      <c r="N14" s="76"/>
      <c r="O14" s="19"/>
      <c r="P14" s="75"/>
      <c r="Q14" s="83"/>
      <c r="R14" s="17"/>
      <c r="S14" s="17"/>
      <c r="T14" s="77"/>
      <c r="U14" s="83"/>
      <c r="V14" s="84"/>
      <c r="W14" s="19"/>
      <c r="X14" s="19"/>
      <c r="Y14" s="19"/>
      <c r="Z14" s="19"/>
      <c r="AA14" s="77"/>
      <c r="AB14" s="84"/>
      <c r="AC14" s="19"/>
      <c r="AD14" s="89">
        <f>K14-M14</f>
        <v>21</v>
      </c>
      <c r="AE14" s="91"/>
      <c r="AF14" s="20"/>
      <c r="AG14" s="20"/>
      <c r="AH14" s="78"/>
      <c r="AI14" s="79"/>
      <c r="AK14" s="1">
        <v>1</v>
      </c>
    </row>
    <row r="15" spans="2:37" ht="24.95" customHeight="1">
      <c r="B15" s="73" t="s">
        <v>26</v>
      </c>
      <c r="C15" s="74"/>
      <c r="D15" s="74"/>
      <c r="E15" s="74"/>
      <c r="F15" s="74"/>
      <c r="G15" s="73">
        <v>233</v>
      </c>
      <c r="H15" s="74"/>
      <c r="I15" s="74"/>
      <c r="J15" s="74"/>
      <c r="K15" s="17">
        <v>21</v>
      </c>
      <c r="L15" s="18">
        <f>K15-M15</f>
        <v>21</v>
      </c>
      <c r="M15" s="75">
        <f>S15+T15+Z15+AA15+AC15</f>
        <v>0</v>
      </c>
      <c r="N15" s="76"/>
      <c r="O15" s="19"/>
      <c r="P15" s="75"/>
      <c r="Q15" s="83"/>
      <c r="R15" s="17"/>
      <c r="S15" s="17"/>
      <c r="T15" s="77"/>
      <c r="U15" s="83"/>
      <c r="V15" s="84"/>
      <c r="W15" s="19"/>
      <c r="X15" s="19"/>
      <c r="Y15" s="19"/>
      <c r="Z15" s="19"/>
      <c r="AA15" s="77"/>
      <c r="AB15" s="84"/>
      <c r="AC15" s="19"/>
      <c r="AD15" s="89">
        <f>K15-M15</f>
        <v>21</v>
      </c>
      <c r="AE15" s="91"/>
      <c r="AF15" s="20"/>
      <c r="AG15" s="20"/>
      <c r="AH15" s="78"/>
      <c r="AI15" s="79"/>
      <c r="AK15" s="1">
        <v>1</v>
      </c>
    </row>
    <row r="16" spans="2:37" ht="16.35" customHeight="1">
      <c r="B16" s="73" t="s">
        <v>27</v>
      </c>
      <c r="C16" s="74"/>
      <c r="D16" s="74"/>
      <c r="E16" s="74"/>
      <c r="F16" s="74"/>
      <c r="G16" s="73">
        <v>302</v>
      </c>
      <c r="H16" s="74"/>
      <c r="I16" s="74"/>
      <c r="J16" s="74"/>
      <c r="K16" s="17">
        <v>21</v>
      </c>
      <c r="L16" s="18">
        <f>K16-M16</f>
        <v>21</v>
      </c>
      <c r="M16" s="75">
        <f>S16+T16+Z16+AA16+AC16</f>
        <v>0</v>
      </c>
      <c r="N16" s="76"/>
      <c r="O16" s="19"/>
      <c r="P16" s="75"/>
      <c r="Q16" s="83"/>
      <c r="R16" s="17"/>
      <c r="S16" s="17"/>
      <c r="T16" s="77"/>
      <c r="U16" s="83"/>
      <c r="V16" s="84"/>
      <c r="W16" s="19"/>
      <c r="X16" s="19"/>
      <c r="Y16" s="19"/>
      <c r="Z16" s="19"/>
      <c r="AA16" s="77"/>
      <c r="AB16" s="84"/>
      <c r="AC16" s="19"/>
      <c r="AD16" s="89">
        <f>K16-M16</f>
        <v>21</v>
      </c>
      <c r="AE16" s="91"/>
      <c r="AF16" s="20"/>
      <c r="AG16" s="20"/>
      <c r="AH16" s="78"/>
      <c r="AI16" s="79"/>
      <c r="AK16" s="1">
        <v>1</v>
      </c>
    </row>
    <row r="17" spans="2:37" ht="16.35" customHeight="1">
      <c r="B17" s="73" t="s">
        <v>28</v>
      </c>
      <c r="C17" s="74"/>
      <c r="D17" s="74"/>
      <c r="E17" s="74"/>
      <c r="F17" s="74"/>
      <c r="G17" s="73">
        <v>372</v>
      </c>
      <c r="H17" s="74"/>
      <c r="I17" s="74"/>
      <c r="J17" s="74"/>
      <c r="K17" s="17">
        <v>21</v>
      </c>
      <c r="L17" s="18">
        <f>K17-M17</f>
        <v>21</v>
      </c>
      <c r="M17" s="75">
        <f>S17+T17+Z17+AA17+AC17</f>
        <v>0</v>
      </c>
      <c r="N17" s="76"/>
      <c r="O17" s="19"/>
      <c r="P17" s="75"/>
      <c r="Q17" s="83"/>
      <c r="R17" s="17"/>
      <c r="S17" s="17"/>
      <c r="T17" s="77"/>
      <c r="U17" s="83"/>
      <c r="V17" s="84"/>
      <c r="W17" s="19"/>
      <c r="X17" s="19"/>
      <c r="Y17" s="19"/>
      <c r="Z17" s="19"/>
      <c r="AA17" s="77"/>
      <c r="AB17" s="84"/>
      <c r="AC17" s="19"/>
      <c r="AD17" s="89">
        <f>K17-M17</f>
        <v>21</v>
      </c>
      <c r="AE17" s="91"/>
      <c r="AF17" s="20"/>
      <c r="AG17" s="20"/>
      <c r="AH17" s="78"/>
      <c r="AI17" s="79"/>
      <c r="AK17" s="1">
        <v>1</v>
      </c>
    </row>
    <row r="18" spans="2:37" ht="24.95" customHeight="1">
      <c r="B18" s="73" t="s">
        <v>29</v>
      </c>
      <c r="C18" s="74"/>
      <c r="D18" s="74"/>
      <c r="E18" s="74"/>
      <c r="F18" s="74"/>
      <c r="G18" s="73">
        <v>404</v>
      </c>
      <c r="H18" s="74"/>
      <c r="I18" s="74"/>
      <c r="J18" s="74"/>
      <c r="K18" s="17">
        <v>21</v>
      </c>
      <c r="L18" s="18">
        <f>K18-M18</f>
        <v>21</v>
      </c>
      <c r="M18" s="75">
        <f>S18+T18+Z18+AA18+AC18</f>
        <v>0</v>
      </c>
      <c r="N18" s="76"/>
      <c r="O18" s="19"/>
      <c r="P18" s="75"/>
      <c r="Q18" s="83"/>
      <c r="R18" s="17"/>
      <c r="S18" s="17"/>
      <c r="T18" s="77"/>
      <c r="U18" s="83"/>
      <c r="V18" s="84"/>
      <c r="W18" s="19"/>
      <c r="X18" s="19"/>
      <c r="Y18" s="19"/>
      <c r="Z18" s="19"/>
      <c r="AA18" s="77"/>
      <c r="AB18" s="84"/>
      <c r="AC18" s="19"/>
      <c r="AD18" s="89">
        <f>K18-M18</f>
        <v>21</v>
      </c>
      <c r="AE18" s="91"/>
      <c r="AF18" s="20"/>
      <c r="AG18" s="20"/>
      <c r="AH18" s="78"/>
      <c r="AI18" s="79"/>
      <c r="AK18" s="1">
        <v>1</v>
      </c>
    </row>
    <row r="19" spans="2:37" ht="24.95" customHeight="1">
      <c r="B19" s="73" t="s">
        <v>30</v>
      </c>
      <c r="C19" s="74"/>
      <c r="D19" s="74"/>
      <c r="E19" s="74"/>
      <c r="F19" s="74"/>
      <c r="G19" s="73">
        <v>451</v>
      </c>
      <c r="H19" s="74"/>
      <c r="I19" s="74"/>
      <c r="J19" s="74"/>
      <c r="K19" s="17">
        <v>21</v>
      </c>
      <c r="L19" s="18">
        <f>K19-M19</f>
        <v>21</v>
      </c>
      <c r="M19" s="75">
        <f>S19+T19+Z19+AA19+AC19</f>
        <v>0</v>
      </c>
      <c r="N19" s="76"/>
      <c r="O19" s="19"/>
      <c r="P19" s="75"/>
      <c r="Q19" s="83"/>
      <c r="R19" s="17"/>
      <c r="S19" s="17"/>
      <c r="T19" s="77"/>
      <c r="U19" s="83"/>
      <c r="V19" s="84"/>
      <c r="W19" s="19"/>
      <c r="X19" s="19"/>
      <c r="Y19" s="19"/>
      <c r="Z19" s="19"/>
      <c r="AA19" s="77"/>
      <c r="AB19" s="84"/>
      <c r="AC19" s="19"/>
      <c r="AD19" s="89">
        <f>K19-M19</f>
        <v>21</v>
      </c>
      <c r="AE19" s="91"/>
      <c r="AF19" s="20"/>
      <c r="AG19" s="20"/>
      <c r="AH19" s="78"/>
      <c r="AI19" s="79"/>
      <c r="AK19" s="1">
        <v>1</v>
      </c>
    </row>
    <row r="20" spans="2:37" ht="16.35" customHeight="1">
      <c r="B20" s="80" t="s">
        <v>31</v>
      </c>
      <c r="C20" s="81"/>
      <c r="D20" s="81"/>
      <c r="E20" s="81"/>
      <c r="F20" s="81"/>
      <c r="G20" s="81"/>
      <c r="H20" s="81"/>
      <c r="I20" s="81"/>
      <c r="J20" s="82"/>
      <c r="K20" s="17">
        <f>SUM(K13:K19)</f>
        <v>147</v>
      </c>
      <c r="L20" s="18">
        <f>SUM(L13:L19)</f>
        <v>147</v>
      </c>
      <c r="M20" s="75"/>
      <c r="N20" s="83"/>
      <c r="O20" s="19"/>
      <c r="P20" s="75"/>
      <c r="Q20" s="83"/>
      <c r="R20" s="17"/>
      <c r="S20" s="17"/>
      <c r="T20" s="77"/>
      <c r="U20" s="83"/>
      <c r="V20" s="84"/>
      <c r="W20" s="19"/>
      <c r="X20" s="19"/>
      <c r="Y20" s="19"/>
      <c r="Z20" s="19"/>
      <c r="AA20" s="77"/>
      <c r="AB20" s="84"/>
      <c r="AC20" s="19"/>
      <c r="AD20" s="77">
        <f>SUM(AD13:AE19)</f>
        <v>147</v>
      </c>
      <c r="AE20" s="84"/>
      <c r="AF20" s="20"/>
      <c r="AG20" s="20"/>
      <c r="AH20" s="78"/>
      <c r="AI20" s="79"/>
    </row>
    <row r="21" spans="1:37" ht="16.35" customHeight="1">
      <c r="B21" s="94" t="s">
        <v>32</v>
      </c>
      <c r="C21" s="95"/>
      <c r="D21" s="95"/>
      <c r="E21" s="95"/>
      <c r="F21" s="95"/>
      <c r="G21" s="95"/>
      <c r="H21" s="95"/>
      <c r="I21" s="95"/>
      <c r="J21" s="95"/>
      <c r="K21" s="95"/>
      <c r="L21" s="96"/>
      <c r="M21" s="95"/>
      <c r="N21" s="95"/>
      <c r="O21" s="95"/>
      <c r="P21" s="95"/>
      <c r="Q21" s="95"/>
      <c r="R21" s="95"/>
      <c r="S21" s="95"/>
      <c r="T21" s="97"/>
      <c r="U21" s="97"/>
      <c r="V21" s="97"/>
      <c r="W21" s="95"/>
      <c r="X21" s="95"/>
      <c r="Y21" s="95"/>
      <c r="Z21" s="98"/>
      <c r="AA21" s="99"/>
      <c r="AB21" s="99"/>
      <c r="AC21" s="95"/>
      <c r="AD21" s="95"/>
      <c r="AE21" s="95"/>
      <c r="AF21" s="95"/>
      <c r="AG21" s="95"/>
      <c r="AH21" s="95"/>
      <c r="AI21" s="100"/>
    </row>
    <row r="22" spans="2:37" ht="24.95" customHeight="1">
      <c r="B22" s="73" t="s">
        <v>33</v>
      </c>
      <c r="C22" s="74"/>
      <c r="D22" s="74"/>
      <c r="E22" s="74"/>
      <c r="F22" s="74"/>
      <c r="G22" s="73">
        <v>549</v>
      </c>
      <c r="H22" s="74"/>
      <c r="I22" s="74"/>
      <c r="J22" s="74"/>
      <c r="K22" s="17">
        <v>21</v>
      </c>
      <c r="L22" s="18">
        <f>K22-M22</f>
        <v>21</v>
      </c>
      <c r="M22" s="75">
        <f>S22+T22+Z22+AA22+AC22</f>
        <v>0</v>
      </c>
      <c r="N22" s="76"/>
      <c r="O22" s="19"/>
      <c r="P22" s="75"/>
      <c r="Q22" s="83"/>
      <c r="R22" s="17"/>
      <c r="S22" s="17"/>
      <c r="T22" s="77"/>
      <c r="U22" s="83"/>
      <c r="V22" s="84"/>
      <c r="W22" s="19"/>
      <c r="X22" s="19"/>
      <c r="Y22" s="19"/>
      <c r="Z22" s="19"/>
      <c r="AA22" s="77"/>
      <c r="AB22" s="84"/>
      <c r="AC22" s="19"/>
      <c r="AD22" s="89">
        <f>K22-M22</f>
        <v>21</v>
      </c>
      <c r="AE22" s="91"/>
      <c r="AF22" s="20"/>
      <c r="AG22" s="20"/>
      <c r="AH22" s="78"/>
      <c r="AI22" s="79"/>
      <c r="AK22" s="1">
        <v>1</v>
      </c>
    </row>
    <row r="23" spans="2:37" ht="24.95" customHeight="1">
      <c r="B23" s="73" t="s">
        <v>34</v>
      </c>
      <c r="C23" s="74"/>
      <c r="D23" s="74"/>
      <c r="E23" s="74"/>
      <c r="F23" s="74"/>
      <c r="G23" s="73">
        <v>550</v>
      </c>
      <c r="H23" s="74"/>
      <c r="I23" s="74"/>
      <c r="J23" s="74"/>
      <c r="K23" s="17">
        <v>21</v>
      </c>
      <c r="L23" s="18">
        <f>K23-M23</f>
        <v>21</v>
      </c>
      <c r="M23" s="75">
        <f>S23+T23+Z23+AA23+AC23</f>
        <v>0</v>
      </c>
      <c r="N23" s="76"/>
      <c r="O23" s="19"/>
      <c r="P23" s="75"/>
      <c r="Q23" s="83"/>
      <c r="R23" s="17"/>
      <c r="S23" s="17"/>
      <c r="T23" s="77"/>
      <c r="U23" s="83"/>
      <c r="V23" s="84"/>
      <c r="W23" s="19"/>
      <c r="X23" s="19"/>
      <c r="Y23" s="19"/>
      <c r="Z23" s="19"/>
      <c r="AA23" s="77"/>
      <c r="AB23" s="84"/>
      <c r="AC23" s="19"/>
      <c r="AD23" s="89">
        <f>K23-M23</f>
        <v>21</v>
      </c>
      <c r="AE23" s="91"/>
      <c r="AF23" s="20"/>
      <c r="AG23" s="20"/>
      <c r="AH23" s="78"/>
      <c r="AI23" s="79"/>
      <c r="AK23" s="1">
        <v>1</v>
      </c>
    </row>
    <row r="24" spans="2:37" ht="24.95" customHeight="1">
      <c r="B24" s="73" t="s">
        <v>35</v>
      </c>
      <c r="C24" s="74"/>
      <c r="D24" s="74"/>
      <c r="E24" s="74"/>
      <c r="F24" s="74"/>
      <c r="G24" s="73">
        <v>552</v>
      </c>
      <c r="H24" s="74"/>
      <c r="I24" s="74"/>
      <c r="J24" s="74"/>
      <c r="K24" s="17">
        <v>21</v>
      </c>
      <c r="L24" s="18">
        <f>K24-M24</f>
        <v>21</v>
      </c>
      <c r="M24" s="75">
        <f>S24+T24+Z24+AA24+AC24</f>
        <v>0</v>
      </c>
      <c r="N24" s="76"/>
      <c r="O24" s="19"/>
      <c r="P24" s="75"/>
      <c r="Q24" s="83"/>
      <c r="R24" s="17"/>
      <c r="S24" s="17"/>
      <c r="T24" s="77"/>
      <c r="U24" s="83"/>
      <c r="V24" s="84"/>
      <c r="W24" s="19"/>
      <c r="X24" s="19"/>
      <c r="Y24" s="19"/>
      <c r="Z24" s="19"/>
      <c r="AA24" s="77"/>
      <c r="AB24" s="84"/>
      <c r="AC24" s="19"/>
      <c r="AD24" s="89">
        <f>K24-M24</f>
        <v>21</v>
      </c>
      <c r="AE24" s="91"/>
      <c r="AF24" s="20"/>
      <c r="AG24" s="20"/>
      <c r="AH24" s="78"/>
      <c r="AI24" s="79"/>
      <c r="AK24" s="1">
        <v>1</v>
      </c>
    </row>
    <row r="25" spans="2:37" ht="16.35" customHeight="1">
      <c r="B25" s="73" t="s">
        <v>36</v>
      </c>
      <c r="C25" s="74"/>
      <c r="D25" s="74"/>
      <c r="E25" s="74"/>
      <c r="F25" s="74"/>
      <c r="G25" s="73">
        <v>554</v>
      </c>
      <c r="H25" s="74"/>
      <c r="I25" s="74"/>
      <c r="J25" s="74"/>
      <c r="K25" s="17">
        <v>21</v>
      </c>
      <c r="L25" s="18">
        <f>K25-M25</f>
        <v>21</v>
      </c>
      <c r="M25" s="75">
        <f>S25+T25+Z25+AA25+AC25</f>
        <v>0</v>
      </c>
      <c r="N25" s="76"/>
      <c r="O25" s="19"/>
      <c r="P25" s="75"/>
      <c r="Q25" s="83"/>
      <c r="R25" s="17"/>
      <c r="S25" s="17"/>
      <c r="T25" s="77"/>
      <c r="U25" s="83"/>
      <c r="V25" s="84"/>
      <c r="W25" s="19"/>
      <c r="X25" s="19"/>
      <c r="Y25" s="19"/>
      <c r="Z25" s="19"/>
      <c r="AA25" s="77"/>
      <c r="AB25" s="84"/>
      <c r="AC25" s="19"/>
      <c r="AD25" s="89">
        <f>K25-M25</f>
        <v>21</v>
      </c>
      <c r="AE25" s="91"/>
      <c r="AF25" s="20"/>
      <c r="AG25" s="20"/>
      <c r="AH25" s="78"/>
      <c r="AI25" s="79"/>
      <c r="AK25" s="1">
        <v>1</v>
      </c>
    </row>
    <row r="26" spans="2:37" ht="24.95" customHeight="1">
      <c r="B26" s="73" t="s">
        <v>37</v>
      </c>
      <c r="C26" s="74"/>
      <c r="D26" s="74"/>
      <c r="E26" s="74"/>
      <c r="F26" s="74"/>
      <c r="G26" s="73">
        <v>555</v>
      </c>
      <c r="H26" s="74"/>
      <c r="I26" s="74"/>
      <c r="J26" s="74"/>
      <c r="K26" s="17">
        <v>21</v>
      </c>
      <c r="L26" s="18">
        <f>K26-M26</f>
        <v>21</v>
      </c>
      <c r="M26" s="75">
        <f>S26+T26+Z26+AA26+AC26</f>
        <v>0</v>
      </c>
      <c r="N26" s="76"/>
      <c r="O26" s="19"/>
      <c r="P26" s="75"/>
      <c r="Q26" s="83"/>
      <c r="R26" s="17"/>
      <c r="S26" s="17"/>
      <c r="T26" s="77"/>
      <c r="U26" s="83"/>
      <c r="V26" s="84"/>
      <c r="W26" s="19"/>
      <c r="X26" s="19"/>
      <c r="Y26" s="19"/>
      <c r="Z26" s="19"/>
      <c r="AA26" s="77"/>
      <c r="AB26" s="84"/>
      <c r="AC26" s="19"/>
      <c r="AD26" s="89">
        <f>K26-M26</f>
        <v>21</v>
      </c>
      <c r="AE26" s="91"/>
      <c r="AF26" s="20"/>
      <c r="AG26" s="20"/>
      <c r="AH26" s="78"/>
      <c r="AI26" s="79"/>
      <c r="AK26" s="1">
        <v>1</v>
      </c>
    </row>
    <row r="27" spans="2:37" ht="24.95" customHeight="1">
      <c r="B27" s="73" t="s">
        <v>38</v>
      </c>
      <c r="C27" s="74"/>
      <c r="D27" s="74"/>
      <c r="E27" s="74"/>
      <c r="F27" s="74"/>
      <c r="G27" s="73">
        <v>556</v>
      </c>
      <c r="H27" s="74"/>
      <c r="I27" s="74"/>
      <c r="J27" s="74"/>
      <c r="K27" s="17">
        <v>21</v>
      </c>
      <c r="L27" s="18">
        <f>K27-M27</f>
        <v>21</v>
      </c>
      <c r="M27" s="75">
        <f>S27+T27+Z27+AA27+AC27</f>
        <v>0</v>
      </c>
      <c r="N27" s="76"/>
      <c r="O27" s="19"/>
      <c r="P27" s="75"/>
      <c r="Q27" s="83"/>
      <c r="R27" s="17"/>
      <c r="S27" s="17"/>
      <c r="T27" s="77"/>
      <c r="U27" s="83"/>
      <c r="V27" s="84"/>
      <c r="W27" s="19"/>
      <c r="X27" s="19"/>
      <c r="Y27" s="19"/>
      <c r="Z27" s="19"/>
      <c r="AA27" s="77"/>
      <c r="AB27" s="84"/>
      <c r="AC27" s="19"/>
      <c r="AD27" s="89">
        <f>K27-M27</f>
        <v>21</v>
      </c>
      <c r="AE27" s="91"/>
      <c r="AF27" s="20"/>
      <c r="AG27" s="20"/>
      <c r="AH27" s="78"/>
      <c r="AI27" s="79"/>
      <c r="AK27" s="1">
        <v>1</v>
      </c>
    </row>
    <row r="28" spans="2:37" ht="16.35" customHeight="1">
      <c r="B28" s="73" t="s">
        <v>39</v>
      </c>
      <c r="C28" s="74"/>
      <c r="D28" s="74"/>
      <c r="E28" s="74"/>
      <c r="F28" s="74"/>
      <c r="G28" s="73">
        <v>559</v>
      </c>
      <c r="H28" s="74"/>
      <c r="I28" s="74"/>
      <c r="J28" s="74"/>
      <c r="K28" s="17">
        <v>21</v>
      </c>
      <c r="L28" s="18">
        <f>K28-M28</f>
        <v>21</v>
      </c>
      <c r="M28" s="75">
        <f>S28+T28+Z28+AA28+AC28</f>
        <v>0</v>
      </c>
      <c r="N28" s="76"/>
      <c r="O28" s="19"/>
      <c r="P28" s="75"/>
      <c r="Q28" s="83"/>
      <c r="R28" s="17"/>
      <c r="S28" s="17"/>
      <c r="T28" s="77"/>
      <c r="U28" s="83"/>
      <c r="V28" s="84"/>
      <c r="W28" s="19"/>
      <c r="X28" s="19"/>
      <c r="Y28" s="19"/>
      <c r="Z28" s="19"/>
      <c r="AA28" s="77"/>
      <c r="AB28" s="84"/>
      <c r="AC28" s="19"/>
      <c r="AD28" s="89">
        <f>K28-M28</f>
        <v>21</v>
      </c>
      <c r="AE28" s="91"/>
      <c r="AF28" s="20"/>
      <c r="AG28" s="20"/>
      <c r="AH28" s="78"/>
      <c r="AI28" s="79"/>
      <c r="AK28" s="1">
        <v>1</v>
      </c>
    </row>
    <row r="29" spans="2:37" ht="24.95" customHeight="1">
      <c r="B29" s="73" t="s">
        <v>40</v>
      </c>
      <c r="C29" s="74"/>
      <c r="D29" s="74"/>
      <c r="E29" s="74"/>
      <c r="F29" s="74"/>
      <c r="G29" s="73">
        <v>567</v>
      </c>
      <c r="H29" s="74"/>
      <c r="I29" s="74"/>
      <c r="J29" s="74"/>
      <c r="K29" s="17">
        <v>21</v>
      </c>
      <c r="L29" s="18">
        <f>K29-M29</f>
        <v>21</v>
      </c>
      <c r="M29" s="75">
        <f>S29+T29+Z29+AA29+AC29</f>
        <v>0</v>
      </c>
      <c r="N29" s="76"/>
      <c r="O29" s="19"/>
      <c r="P29" s="75"/>
      <c r="Q29" s="83"/>
      <c r="R29" s="17"/>
      <c r="S29" s="17"/>
      <c r="T29" s="77"/>
      <c r="U29" s="83"/>
      <c r="V29" s="84"/>
      <c r="W29" s="19"/>
      <c r="X29" s="19"/>
      <c r="Y29" s="19"/>
      <c r="Z29" s="19"/>
      <c r="AA29" s="77"/>
      <c r="AB29" s="84"/>
      <c r="AC29" s="19"/>
      <c r="AD29" s="89">
        <f>K29-M29</f>
        <v>21</v>
      </c>
      <c r="AE29" s="91"/>
      <c r="AF29" s="20"/>
      <c r="AG29" s="20"/>
      <c r="AH29" s="78"/>
      <c r="AI29" s="79"/>
      <c r="AK29" s="1">
        <v>1</v>
      </c>
    </row>
    <row r="30" spans="2:37" ht="16.35" customHeight="1">
      <c r="B30" s="73" t="s">
        <v>41</v>
      </c>
      <c r="C30" s="74"/>
      <c r="D30" s="74"/>
      <c r="E30" s="74"/>
      <c r="F30" s="74"/>
      <c r="G30" s="73">
        <v>568</v>
      </c>
      <c r="H30" s="74"/>
      <c r="I30" s="74"/>
      <c r="J30" s="74"/>
      <c r="K30" s="17">
        <v>21</v>
      </c>
      <c r="L30" s="18">
        <f>K30-M30</f>
        <v>21</v>
      </c>
      <c r="M30" s="75">
        <f>S30+T30+Z30+AA30+AC30</f>
        <v>0</v>
      </c>
      <c r="N30" s="76"/>
      <c r="O30" s="19"/>
      <c r="P30" s="75"/>
      <c r="Q30" s="83"/>
      <c r="R30" s="17"/>
      <c r="S30" s="17"/>
      <c r="T30" s="77"/>
      <c r="U30" s="83"/>
      <c r="V30" s="84"/>
      <c r="W30" s="19"/>
      <c r="X30" s="19"/>
      <c r="Y30" s="19"/>
      <c r="Z30" s="19"/>
      <c r="AA30" s="77"/>
      <c r="AB30" s="84"/>
      <c r="AC30" s="19"/>
      <c r="AD30" s="89">
        <f>K30-M30</f>
        <v>21</v>
      </c>
      <c r="AE30" s="91"/>
      <c r="AF30" s="20"/>
      <c r="AG30" s="20"/>
      <c r="AH30" s="78"/>
      <c r="AI30" s="79"/>
      <c r="AK30" s="1">
        <v>1</v>
      </c>
    </row>
    <row r="31" spans="2:37" ht="24.95" customHeight="1">
      <c r="B31" s="73" t="s">
        <v>42</v>
      </c>
      <c r="C31" s="74"/>
      <c r="D31" s="74"/>
      <c r="E31" s="74"/>
      <c r="F31" s="74"/>
      <c r="G31" s="73">
        <v>569</v>
      </c>
      <c r="H31" s="74"/>
      <c r="I31" s="74"/>
      <c r="J31" s="74"/>
      <c r="K31" s="17">
        <v>21</v>
      </c>
      <c r="L31" s="18">
        <f>K31-M31</f>
        <v>21</v>
      </c>
      <c r="M31" s="75">
        <f>S31+T31+Z31+AA31+AC31</f>
        <v>0</v>
      </c>
      <c r="N31" s="76"/>
      <c r="O31" s="19"/>
      <c r="P31" s="75"/>
      <c r="Q31" s="83"/>
      <c r="R31" s="17"/>
      <c r="S31" s="17"/>
      <c r="T31" s="77"/>
      <c r="U31" s="83"/>
      <c r="V31" s="84"/>
      <c r="W31" s="19"/>
      <c r="X31" s="19"/>
      <c r="Y31" s="19"/>
      <c r="Z31" s="19"/>
      <c r="AA31" s="77"/>
      <c r="AB31" s="84"/>
      <c r="AC31" s="19"/>
      <c r="AD31" s="89">
        <f>K31-M31</f>
        <v>21</v>
      </c>
      <c r="AE31" s="91"/>
      <c r="AF31" s="20"/>
      <c r="AG31" s="20"/>
      <c r="AH31" s="78"/>
      <c r="AI31" s="79"/>
      <c r="AK31" s="1">
        <v>1</v>
      </c>
    </row>
    <row r="32" spans="2:37" ht="24.95" customHeight="1">
      <c r="B32" s="73" t="s">
        <v>43</v>
      </c>
      <c r="C32" s="74"/>
      <c r="D32" s="74"/>
      <c r="E32" s="74"/>
      <c r="F32" s="74"/>
      <c r="G32" s="73">
        <v>570</v>
      </c>
      <c r="H32" s="74"/>
      <c r="I32" s="74"/>
      <c r="J32" s="74"/>
      <c r="K32" s="17">
        <v>21</v>
      </c>
      <c r="L32" s="18">
        <f>K32-M32</f>
        <v>21</v>
      </c>
      <c r="M32" s="75">
        <f>S32+T32+Z32+AA32+AC32</f>
        <v>0</v>
      </c>
      <c r="N32" s="76"/>
      <c r="O32" s="19"/>
      <c r="P32" s="75"/>
      <c r="Q32" s="83"/>
      <c r="R32" s="17"/>
      <c r="S32" s="17"/>
      <c r="T32" s="77"/>
      <c r="U32" s="83"/>
      <c r="V32" s="84"/>
      <c r="W32" s="19"/>
      <c r="X32" s="19"/>
      <c r="Y32" s="19"/>
      <c r="Z32" s="19"/>
      <c r="AA32" s="77"/>
      <c r="AB32" s="84"/>
      <c r="AC32" s="19"/>
      <c r="AD32" s="89">
        <f>K32-M32</f>
        <v>21</v>
      </c>
      <c r="AE32" s="91"/>
      <c r="AF32" s="20"/>
      <c r="AG32" s="20"/>
      <c r="AH32" s="78"/>
      <c r="AI32" s="79"/>
      <c r="AK32" s="1">
        <v>1</v>
      </c>
    </row>
    <row r="33" spans="2:37" ht="24.95" customHeight="1">
      <c r="B33" s="73" t="s">
        <v>44</v>
      </c>
      <c r="C33" s="74"/>
      <c r="D33" s="74"/>
      <c r="E33" s="74"/>
      <c r="F33" s="74"/>
      <c r="G33" s="73">
        <v>573</v>
      </c>
      <c r="H33" s="74"/>
      <c r="I33" s="74"/>
      <c r="J33" s="74"/>
      <c r="K33" s="17">
        <v>21</v>
      </c>
      <c r="L33" s="18">
        <f>K33-M33</f>
        <v>21</v>
      </c>
      <c r="M33" s="75">
        <f>S33+T33+Z33+AA33+AC33</f>
        <v>0</v>
      </c>
      <c r="N33" s="76"/>
      <c r="O33" s="19"/>
      <c r="P33" s="75"/>
      <c r="Q33" s="83"/>
      <c r="R33" s="17"/>
      <c r="S33" s="17"/>
      <c r="T33" s="77"/>
      <c r="U33" s="83"/>
      <c r="V33" s="84"/>
      <c r="W33" s="19"/>
      <c r="X33" s="19"/>
      <c r="Y33" s="19"/>
      <c r="Z33" s="19"/>
      <c r="AA33" s="77"/>
      <c r="AB33" s="84"/>
      <c r="AC33" s="19"/>
      <c r="AD33" s="89">
        <f>K33-M33</f>
        <v>21</v>
      </c>
      <c r="AE33" s="91"/>
      <c r="AF33" s="20"/>
      <c r="AG33" s="20"/>
      <c r="AH33" s="78"/>
      <c r="AI33" s="79"/>
      <c r="AK33" s="1">
        <v>1</v>
      </c>
    </row>
    <row r="34" spans="2:37" ht="24.95" customHeight="1">
      <c r="B34" s="73" t="s">
        <v>45</v>
      </c>
      <c r="C34" s="74"/>
      <c r="D34" s="74"/>
      <c r="E34" s="74"/>
      <c r="F34" s="74"/>
      <c r="G34" s="73">
        <v>574</v>
      </c>
      <c r="H34" s="74"/>
      <c r="I34" s="74"/>
      <c r="J34" s="74"/>
      <c r="K34" s="17">
        <v>21</v>
      </c>
      <c r="L34" s="18">
        <f>K34-M34</f>
        <v>21</v>
      </c>
      <c r="M34" s="75">
        <f>S34+T34+Z34+AA34+AC34</f>
        <v>0</v>
      </c>
      <c r="N34" s="76"/>
      <c r="O34" s="19"/>
      <c r="P34" s="75"/>
      <c r="Q34" s="83"/>
      <c r="R34" s="17"/>
      <c r="S34" s="17"/>
      <c r="T34" s="77"/>
      <c r="U34" s="83"/>
      <c r="V34" s="84"/>
      <c r="W34" s="19"/>
      <c r="X34" s="19"/>
      <c r="Y34" s="19"/>
      <c r="Z34" s="19"/>
      <c r="AA34" s="77"/>
      <c r="AB34" s="84"/>
      <c r="AC34" s="19"/>
      <c r="AD34" s="89">
        <f>K34-M34</f>
        <v>21</v>
      </c>
      <c r="AE34" s="91"/>
      <c r="AF34" s="20"/>
      <c r="AG34" s="20"/>
      <c r="AH34" s="78"/>
      <c r="AI34" s="79"/>
      <c r="AK34" s="1">
        <v>1</v>
      </c>
    </row>
    <row r="35" spans="2:37" ht="24.95" customHeight="1">
      <c r="B35" s="73" t="s">
        <v>46</v>
      </c>
      <c r="C35" s="74"/>
      <c r="D35" s="74"/>
      <c r="E35" s="74"/>
      <c r="F35" s="74"/>
      <c r="G35" s="73">
        <v>577</v>
      </c>
      <c r="H35" s="74"/>
      <c r="I35" s="74"/>
      <c r="J35" s="74"/>
      <c r="K35" s="17">
        <v>21</v>
      </c>
      <c r="L35" s="18">
        <f>K35-M35</f>
        <v>21</v>
      </c>
      <c r="M35" s="75">
        <f>S35+T35+Z35+AA35+AC35</f>
        <v>0</v>
      </c>
      <c r="N35" s="76"/>
      <c r="O35" s="19"/>
      <c r="P35" s="75"/>
      <c r="Q35" s="83"/>
      <c r="R35" s="17"/>
      <c r="S35" s="17"/>
      <c r="T35" s="77"/>
      <c r="U35" s="83"/>
      <c r="V35" s="84"/>
      <c r="W35" s="19"/>
      <c r="X35" s="19"/>
      <c r="Y35" s="19"/>
      <c r="Z35" s="19"/>
      <c r="AA35" s="77"/>
      <c r="AB35" s="84"/>
      <c r="AC35" s="19"/>
      <c r="AD35" s="89">
        <f>K35-M35</f>
        <v>21</v>
      </c>
      <c r="AE35" s="91"/>
      <c r="AF35" s="20"/>
      <c r="AG35" s="20"/>
      <c r="AH35" s="78"/>
      <c r="AI35" s="79"/>
      <c r="AK35" s="1">
        <v>1</v>
      </c>
    </row>
    <row r="36" spans="2:37" ht="24.95" customHeight="1">
      <c r="B36" s="73" t="s">
        <v>47</v>
      </c>
      <c r="C36" s="74"/>
      <c r="D36" s="74"/>
      <c r="E36" s="74"/>
      <c r="F36" s="74"/>
      <c r="G36" s="73">
        <v>578</v>
      </c>
      <c r="H36" s="74"/>
      <c r="I36" s="74"/>
      <c r="J36" s="74"/>
      <c r="K36" s="17">
        <v>21</v>
      </c>
      <c r="L36" s="18">
        <f>K36-M36</f>
        <v>21</v>
      </c>
      <c r="M36" s="75">
        <f>S36+T36+Z36+AA36+AC36</f>
        <v>0</v>
      </c>
      <c r="N36" s="76"/>
      <c r="O36" s="19"/>
      <c r="P36" s="75"/>
      <c r="Q36" s="83"/>
      <c r="R36" s="17"/>
      <c r="S36" s="17"/>
      <c r="T36" s="77"/>
      <c r="U36" s="83"/>
      <c r="V36" s="84"/>
      <c r="W36" s="19"/>
      <c r="X36" s="19"/>
      <c r="Y36" s="19"/>
      <c r="Z36" s="19"/>
      <c r="AA36" s="77"/>
      <c r="AB36" s="84"/>
      <c r="AC36" s="19"/>
      <c r="AD36" s="89">
        <f>K36-M36</f>
        <v>21</v>
      </c>
      <c r="AE36" s="91"/>
      <c r="AF36" s="20"/>
      <c r="AG36" s="20"/>
      <c r="AH36" s="78"/>
      <c r="AI36" s="79"/>
      <c r="AK36" s="1">
        <v>1</v>
      </c>
    </row>
    <row r="37" spans="2:37" ht="24.95" customHeight="1">
      <c r="B37" s="73" t="s">
        <v>48</v>
      </c>
      <c r="C37" s="74"/>
      <c r="D37" s="74"/>
      <c r="E37" s="74"/>
      <c r="F37" s="74"/>
      <c r="G37" s="73">
        <v>579</v>
      </c>
      <c r="H37" s="74"/>
      <c r="I37" s="74"/>
      <c r="J37" s="74"/>
      <c r="K37" s="17">
        <v>21</v>
      </c>
      <c r="L37" s="18">
        <f>K37-M37</f>
        <v>21</v>
      </c>
      <c r="M37" s="75">
        <f>S37+T37+Z37+AA37+AC37</f>
        <v>0</v>
      </c>
      <c r="N37" s="76"/>
      <c r="O37" s="19"/>
      <c r="P37" s="75"/>
      <c r="Q37" s="83"/>
      <c r="R37" s="17"/>
      <c r="S37" s="17"/>
      <c r="T37" s="77"/>
      <c r="U37" s="83"/>
      <c r="V37" s="84"/>
      <c r="W37" s="19"/>
      <c r="X37" s="19"/>
      <c r="Y37" s="19"/>
      <c r="Z37" s="19"/>
      <c r="AA37" s="77"/>
      <c r="AB37" s="84"/>
      <c r="AC37" s="19"/>
      <c r="AD37" s="89">
        <f>K37-M37</f>
        <v>21</v>
      </c>
      <c r="AE37" s="91"/>
      <c r="AF37" s="20"/>
      <c r="AG37" s="20"/>
      <c r="AH37" s="78"/>
      <c r="AI37" s="79"/>
      <c r="AK37" s="1">
        <v>1</v>
      </c>
    </row>
    <row r="38" spans="2:37" ht="24.95" customHeight="1">
      <c r="B38" s="73" t="s">
        <v>49</v>
      </c>
      <c r="C38" s="74"/>
      <c r="D38" s="74"/>
      <c r="E38" s="74"/>
      <c r="F38" s="74"/>
      <c r="G38" s="73">
        <v>586</v>
      </c>
      <c r="H38" s="74"/>
      <c r="I38" s="74"/>
      <c r="J38" s="74"/>
      <c r="K38" s="17">
        <v>21</v>
      </c>
      <c r="L38" s="18">
        <f>K38-M38</f>
        <v>21</v>
      </c>
      <c r="M38" s="75">
        <f>S38+T38+Z38+AA38+AC38</f>
        <v>0</v>
      </c>
      <c r="N38" s="76"/>
      <c r="O38" s="19"/>
      <c r="P38" s="75"/>
      <c r="Q38" s="83"/>
      <c r="R38" s="17"/>
      <c r="S38" s="17"/>
      <c r="T38" s="77"/>
      <c r="U38" s="83"/>
      <c r="V38" s="84"/>
      <c r="W38" s="19"/>
      <c r="X38" s="19"/>
      <c r="Y38" s="19"/>
      <c r="Z38" s="19"/>
      <c r="AA38" s="77"/>
      <c r="AB38" s="84"/>
      <c r="AC38" s="19"/>
      <c r="AD38" s="89">
        <f>K38-M38</f>
        <v>21</v>
      </c>
      <c r="AE38" s="91"/>
      <c r="AF38" s="20"/>
      <c r="AG38" s="20"/>
      <c r="AH38" s="78"/>
      <c r="AI38" s="79"/>
      <c r="AK38" s="1">
        <v>1</v>
      </c>
    </row>
    <row r="39" spans="2:37" ht="24.95" customHeight="1">
      <c r="B39" s="73" t="s">
        <v>50</v>
      </c>
      <c r="C39" s="74"/>
      <c r="D39" s="74"/>
      <c r="E39" s="74"/>
      <c r="F39" s="74"/>
      <c r="G39" s="73">
        <v>594</v>
      </c>
      <c r="H39" s="74"/>
      <c r="I39" s="74"/>
      <c r="J39" s="74"/>
      <c r="K39" s="17">
        <v>21</v>
      </c>
      <c r="L39" s="18">
        <f>K39-M39</f>
        <v>21</v>
      </c>
      <c r="M39" s="75">
        <f>S39+T39+Z39+AA39+AC39</f>
        <v>0</v>
      </c>
      <c r="N39" s="76"/>
      <c r="O39" s="19"/>
      <c r="P39" s="75"/>
      <c r="Q39" s="83"/>
      <c r="R39" s="17"/>
      <c r="S39" s="17"/>
      <c r="T39" s="77"/>
      <c r="U39" s="83"/>
      <c r="V39" s="84"/>
      <c r="W39" s="19"/>
      <c r="X39" s="19"/>
      <c r="Y39" s="19"/>
      <c r="Z39" s="19"/>
      <c r="AA39" s="77"/>
      <c r="AB39" s="84"/>
      <c r="AC39" s="19"/>
      <c r="AD39" s="89">
        <f>K39-M39</f>
        <v>21</v>
      </c>
      <c r="AE39" s="91"/>
      <c r="AF39" s="20"/>
      <c r="AG39" s="20"/>
      <c r="AH39" s="78"/>
      <c r="AI39" s="79"/>
      <c r="AK39" s="1">
        <v>1</v>
      </c>
    </row>
    <row r="40" spans="2:37" ht="24.95" customHeight="1">
      <c r="B40" s="73" t="s">
        <v>51</v>
      </c>
      <c r="C40" s="74"/>
      <c r="D40" s="74"/>
      <c r="E40" s="74"/>
      <c r="F40" s="74"/>
      <c r="G40" s="73">
        <v>595</v>
      </c>
      <c r="H40" s="74"/>
      <c r="I40" s="74"/>
      <c r="J40" s="74"/>
      <c r="K40" s="17">
        <v>21</v>
      </c>
      <c r="L40" s="18">
        <f>K40-M40</f>
        <v>21</v>
      </c>
      <c r="M40" s="75">
        <f>S40+T40+Z40+AA40+AC40</f>
        <v>0</v>
      </c>
      <c r="N40" s="76"/>
      <c r="O40" s="19"/>
      <c r="P40" s="75"/>
      <c r="Q40" s="83"/>
      <c r="R40" s="17"/>
      <c r="S40" s="17"/>
      <c r="T40" s="77"/>
      <c r="U40" s="83"/>
      <c r="V40" s="84"/>
      <c r="W40" s="19"/>
      <c r="X40" s="19"/>
      <c r="Y40" s="19"/>
      <c r="Z40" s="19"/>
      <c r="AA40" s="77"/>
      <c r="AB40" s="84"/>
      <c r="AC40" s="19"/>
      <c r="AD40" s="89">
        <f>K40-M40</f>
        <v>21</v>
      </c>
      <c r="AE40" s="91"/>
      <c r="AF40" s="20"/>
      <c r="AG40" s="20"/>
      <c r="AH40" s="78"/>
      <c r="AI40" s="79"/>
      <c r="AK40" s="1">
        <v>1</v>
      </c>
    </row>
    <row r="41" spans="2:37" ht="24.95" customHeight="1">
      <c r="B41" s="73" t="s">
        <v>52</v>
      </c>
      <c r="C41" s="74"/>
      <c r="D41" s="74"/>
      <c r="E41" s="74"/>
      <c r="F41" s="74"/>
      <c r="G41" s="73">
        <v>599</v>
      </c>
      <c r="H41" s="74"/>
      <c r="I41" s="74"/>
      <c r="J41" s="74"/>
      <c r="K41" s="17">
        <v>21</v>
      </c>
      <c r="L41" s="18">
        <f>K41-M41</f>
        <v>21</v>
      </c>
      <c r="M41" s="75">
        <f>S41+T41+Z41+AA41+AC41</f>
        <v>0</v>
      </c>
      <c r="N41" s="76"/>
      <c r="O41" s="19"/>
      <c r="P41" s="75"/>
      <c r="Q41" s="83"/>
      <c r="R41" s="17"/>
      <c r="S41" s="17"/>
      <c r="T41" s="77"/>
      <c r="U41" s="83"/>
      <c r="V41" s="84"/>
      <c r="W41" s="19"/>
      <c r="X41" s="19"/>
      <c r="Y41" s="19"/>
      <c r="Z41" s="19"/>
      <c r="AA41" s="77"/>
      <c r="AB41" s="84"/>
      <c r="AC41" s="19"/>
      <c r="AD41" s="89">
        <f>K41-M41</f>
        <v>21</v>
      </c>
      <c r="AE41" s="91"/>
      <c r="AF41" s="20"/>
      <c r="AG41" s="20"/>
      <c r="AH41" s="78"/>
      <c r="AI41" s="79"/>
      <c r="AK41" s="1">
        <v>1</v>
      </c>
    </row>
    <row r="42" spans="2:37" ht="24.95" customHeight="1">
      <c r="B42" s="73" t="s">
        <v>53</v>
      </c>
      <c r="C42" s="74"/>
      <c r="D42" s="74"/>
      <c r="E42" s="74"/>
      <c r="F42" s="74"/>
      <c r="G42" s="73">
        <v>800</v>
      </c>
      <c r="H42" s="74"/>
      <c r="I42" s="74"/>
      <c r="J42" s="74"/>
      <c r="K42" s="17">
        <v>21</v>
      </c>
      <c r="L42" s="18">
        <f>K42-M42</f>
        <v>21</v>
      </c>
      <c r="M42" s="75">
        <f>S42+T42+Z42+AA42+AC42</f>
        <v>0</v>
      </c>
      <c r="N42" s="76"/>
      <c r="O42" s="19"/>
      <c r="P42" s="75"/>
      <c r="Q42" s="83"/>
      <c r="R42" s="17"/>
      <c r="S42" s="17"/>
      <c r="T42" s="77"/>
      <c r="U42" s="83"/>
      <c r="V42" s="84"/>
      <c r="W42" s="19"/>
      <c r="X42" s="19"/>
      <c r="Y42" s="19"/>
      <c r="Z42" s="19"/>
      <c r="AA42" s="77"/>
      <c r="AB42" s="84"/>
      <c r="AC42" s="19"/>
      <c r="AD42" s="89">
        <f>K42-M42</f>
        <v>21</v>
      </c>
      <c r="AE42" s="91"/>
      <c r="AF42" s="20"/>
      <c r="AG42" s="20"/>
      <c r="AH42" s="78"/>
      <c r="AI42" s="79"/>
      <c r="AK42" s="1">
        <v>1</v>
      </c>
    </row>
    <row r="43" spans="2:37" ht="24.95" customHeight="1">
      <c r="B43" s="73" t="s">
        <v>54</v>
      </c>
      <c r="C43" s="74"/>
      <c r="D43" s="74"/>
      <c r="E43" s="74"/>
      <c r="F43" s="74"/>
      <c r="G43" s="73">
        <v>806</v>
      </c>
      <c r="H43" s="74"/>
      <c r="I43" s="74"/>
      <c r="J43" s="74"/>
      <c r="K43" s="17">
        <v>21</v>
      </c>
      <c r="L43" s="18">
        <f>K43-M43</f>
        <v>21</v>
      </c>
      <c r="M43" s="75">
        <f>S43+T43+Z43+AA43+AC43</f>
        <v>0</v>
      </c>
      <c r="N43" s="76"/>
      <c r="O43" s="19"/>
      <c r="P43" s="75"/>
      <c r="Q43" s="83"/>
      <c r="R43" s="17"/>
      <c r="S43" s="17"/>
      <c r="T43" s="77"/>
      <c r="U43" s="83"/>
      <c r="V43" s="84"/>
      <c r="W43" s="19"/>
      <c r="X43" s="19"/>
      <c r="Y43" s="19"/>
      <c r="Z43" s="19"/>
      <c r="AA43" s="77"/>
      <c r="AB43" s="84"/>
      <c r="AC43" s="19"/>
      <c r="AD43" s="89">
        <f>K43-M43</f>
        <v>21</v>
      </c>
      <c r="AE43" s="91"/>
      <c r="AF43" s="20"/>
      <c r="AG43" s="20"/>
      <c r="AH43" s="78"/>
      <c r="AI43" s="79"/>
      <c r="AK43" s="1">
        <v>1</v>
      </c>
    </row>
    <row r="44" spans="2:37" ht="24.95" customHeight="1">
      <c r="B44" s="73" t="s">
        <v>55</v>
      </c>
      <c r="C44" s="74"/>
      <c r="D44" s="74"/>
      <c r="E44" s="74"/>
      <c r="F44" s="74"/>
      <c r="G44" s="73">
        <v>809</v>
      </c>
      <c r="H44" s="74"/>
      <c r="I44" s="74"/>
      <c r="J44" s="74"/>
      <c r="K44" s="17">
        <v>21</v>
      </c>
      <c r="L44" s="18">
        <f>K44-M44</f>
        <v>21</v>
      </c>
      <c r="M44" s="75">
        <f>S44+T44+Z44+AA44+AC44</f>
        <v>0</v>
      </c>
      <c r="N44" s="76"/>
      <c r="O44" s="19"/>
      <c r="P44" s="75"/>
      <c r="Q44" s="83"/>
      <c r="R44" s="17"/>
      <c r="S44" s="17"/>
      <c r="T44" s="77"/>
      <c r="U44" s="83"/>
      <c r="V44" s="84"/>
      <c r="W44" s="19"/>
      <c r="X44" s="19"/>
      <c r="Y44" s="19"/>
      <c r="Z44" s="19"/>
      <c r="AA44" s="77"/>
      <c r="AB44" s="84"/>
      <c r="AC44" s="19"/>
      <c r="AD44" s="89">
        <f>K44-M44</f>
        <v>21</v>
      </c>
      <c r="AE44" s="91"/>
      <c r="AF44" s="20"/>
      <c r="AG44" s="20"/>
      <c r="AH44" s="78"/>
      <c r="AI44" s="79"/>
      <c r="AK44" s="1">
        <v>1</v>
      </c>
    </row>
    <row r="45" spans="2:37" ht="24.95" customHeight="1">
      <c r="B45" s="73" t="s">
        <v>56</v>
      </c>
      <c r="C45" s="74"/>
      <c r="D45" s="74"/>
      <c r="E45" s="74"/>
      <c r="F45" s="74"/>
      <c r="G45" s="73">
        <v>821</v>
      </c>
      <c r="H45" s="74"/>
      <c r="I45" s="74"/>
      <c r="J45" s="74"/>
      <c r="K45" s="17">
        <v>21</v>
      </c>
      <c r="L45" s="18">
        <f>K45-M45</f>
        <v>21</v>
      </c>
      <c r="M45" s="75">
        <f>S45+T45+Z45+AA45+AC45</f>
        <v>0</v>
      </c>
      <c r="N45" s="76"/>
      <c r="O45" s="19"/>
      <c r="P45" s="75"/>
      <c r="Q45" s="83"/>
      <c r="R45" s="17"/>
      <c r="S45" s="17"/>
      <c r="T45" s="77"/>
      <c r="U45" s="83"/>
      <c r="V45" s="84"/>
      <c r="W45" s="19"/>
      <c r="X45" s="19"/>
      <c r="Y45" s="19"/>
      <c r="Z45" s="19"/>
      <c r="AA45" s="77"/>
      <c r="AB45" s="84"/>
      <c r="AC45" s="19"/>
      <c r="AD45" s="89">
        <f>K45-M45</f>
        <v>21</v>
      </c>
      <c r="AE45" s="91"/>
      <c r="AF45" s="20"/>
      <c r="AG45" s="20"/>
      <c r="AH45" s="78"/>
      <c r="AI45" s="79"/>
      <c r="AK45" s="1">
        <v>1</v>
      </c>
    </row>
    <row r="46" spans="2:37" ht="16.35" customHeight="1">
      <c r="B46" s="80" t="s">
        <v>57</v>
      </c>
      <c r="C46" s="81"/>
      <c r="D46" s="81"/>
      <c r="E46" s="81"/>
      <c r="F46" s="81"/>
      <c r="G46" s="81"/>
      <c r="H46" s="81"/>
      <c r="I46" s="81"/>
      <c r="J46" s="82"/>
      <c r="K46" s="17">
        <f>SUM(K22:K45)</f>
        <v>504</v>
      </c>
      <c r="L46" s="18">
        <f>SUM(L22:L45)</f>
        <v>504</v>
      </c>
      <c r="M46" s="75"/>
      <c r="N46" s="83"/>
      <c r="O46" s="19"/>
      <c r="P46" s="75"/>
      <c r="Q46" s="83"/>
      <c r="R46" s="17"/>
      <c r="S46" s="17"/>
      <c r="T46" s="77"/>
      <c r="U46" s="83"/>
      <c r="V46" s="84"/>
      <c r="W46" s="19"/>
      <c r="X46" s="19"/>
      <c r="Y46" s="19"/>
      <c r="Z46" s="19"/>
      <c r="AA46" s="77"/>
      <c r="AB46" s="84"/>
      <c r="AC46" s="19"/>
      <c r="AD46" s="77">
        <f>SUM(AD22:AE45)</f>
        <v>504</v>
      </c>
      <c r="AE46" s="84"/>
      <c r="AF46" s="20"/>
      <c r="AG46" s="20"/>
      <c r="AH46" s="78"/>
      <c r="AI46" s="79"/>
    </row>
    <row r="47" spans="1:37" ht="16.35" customHeight="1">
      <c r="B47" s="94" t="s">
        <v>23</v>
      </c>
      <c r="C47" s="95"/>
      <c r="D47" s="95"/>
      <c r="E47" s="95"/>
      <c r="F47" s="95"/>
      <c r="G47" s="95"/>
      <c r="H47" s="95"/>
      <c r="I47" s="95"/>
      <c r="J47" s="95"/>
      <c r="K47" s="95"/>
      <c r="L47" s="96"/>
      <c r="M47" s="95"/>
      <c r="N47" s="95"/>
      <c r="O47" s="95"/>
      <c r="P47" s="95"/>
      <c r="Q47" s="95"/>
      <c r="R47" s="95"/>
      <c r="S47" s="95"/>
      <c r="T47" s="97"/>
      <c r="U47" s="97"/>
      <c r="V47" s="97"/>
      <c r="W47" s="95"/>
      <c r="X47" s="95"/>
      <c r="Y47" s="95"/>
      <c r="Z47" s="98"/>
      <c r="AA47" s="99"/>
      <c r="AB47" s="99"/>
      <c r="AC47" s="95"/>
      <c r="AD47" s="95"/>
      <c r="AE47" s="95"/>
      <c r="AF47" s="95"/>
      <c r="AG47" s="95"/>
      <c r="AH47" s="95"/>
      <c r="AI47" s="100"/>
    </row>
    <row r="48" spans="2:37" ht="24.95" customHeight="1">
      <c r="B48" s="73" t="s">
        <v>58</v>
      </c>
      <c r="C48" s="74"/>
      <c r="D48" s="74"/>
      <c r="E48" s="74"/>
      <c r="F48" s="74"/>
      <c r="G48" s="73">
        <v>831</v>
      </c>
      <c r="H48" s="74"/>
      <c r="I48" s="74"/>
      <c r="J48" s="74"/>
      <c r="K48" s="17">
        <v>21</v>
      </c>
      <c r="L48" s="18">
        <f>K48-M48</f>
        <v>21</v>
      </c>
      <c r="M48" s="75">
        <f>S48+T48+Z48+AA48+AC48</f>
        <v>0</v>
      </c>
      <c r="N48" s="76"/>
      <c r="O48" s="19"/>
      <c r="P48" s="75"/>
      <c r="Q48" s="83"/>
      <c r="R48" s="17"/>
      <c r="S48" s="17"/>
      <c r="T48" s="77"/>
      <c r="U48" s="83"/>
      <c r="V48" s="84"/>
      <c r="W48" s="19"/>
      <c r="X48" s="19"/>
      <c r="Y48" s="19"/>
      <c r="Z48" s="19"/>
      <c r="AA48" s="77"/>
      <c r="AB48" s="84"/>
      <c r="AC48" s="19"/>
      <c r="AD48" s="89">
        <f>K48-M48</f>
        <v>21</v>
      </c>
      <c r="AE48" s="91"/>
      <c r="AF48" s="20"/>
      <c r="AG48" s="20"/>
      <c r="AH48" s="78"/>
      <c r="AI48" s="79"/>
      <c r="AK48" s="1">
        <v>1</v>
      </c>
    </row>
    <row r="49" spans="2:37" ht="16.35" customHeight="1">
      <c r="B49" s="73" t="s">
        <v>59</v>
      </c>
      <c r="C49" s="74"/>
      <c r="D49" s="74"/>
      <c r="E49" s="74"/>
      <c r="F49" s="74"/>
      <c r="G49" s="73">
        <v>835</v>
      </c>
      <c r="H49" s="74"/>
      <c r="I49" s="74"/>
      <c r="J49" s="74"/>
      <c r="K49" s="17">
        <v>21</v>
      </c>
      <c r="L49" s="18">
        <f>K49-M49</f>
        <v>21</v>
      </c>
      <c r="M49" s="75">
        <f>S49+T49+Z49+AA49+AC49</f>
        <v>0</v>
      </c>
      <c r="N49" s="76"/>
      <c r="O49" s="19"/>
      <c r="P49" s="75"/>
      <c r="Q49" s="83"/>
      <c r="R49" s="17"/>
      <c r="S49" s="17"/>
      <c r="T49" s="77"/>
      <c r="U49" s="83"/>
      <c r="V49" s="84"/>
      <c r="W49" s="19"/>
      <c r="X49" s="19"/>
      <c r="Y49" s="19"/>
      <c r="Z49" s="19"/>
      <c r="AA49" s="77"/>
      <c r="AB49" s="84"/>
      <c r="AC49" s="19"/>
      <c r="AD49" s="89">
        <f>K49-M49</f>
        <v>21</v>
      </c>
      <c r="AE49" s="91"/>
      <c r="AF49" s="20"/>
      <c r="AG49" s="20"/>
      <c r="AH49" s="78"/>
      <c r="AI49" s="79"/>
      <c r="AK49" s="1">
        <v>1</v>
      </c>
    </row>
    <row r="50" spans="2:37" ht="16.35" customHeight="1">
      <c r="B50" s="80" t="s">
        <v>60</v>
      </c>
      <c r="C50" s="81"/>
      <c r="D50" s="81"/>
      <c r="E50" s="81"/>
      <c r="F50" s="81"/>
      <c r="G50" s="81"/>
      <c r="H50" s="81"/>
      <c r="I50" s="81"/>
      <c r="J50" s="82"/>
      <c r="K50" s="17">
        <f>SUM(K48:K49)</f>
        <v>42</v>
      </c>
      <c r="L50" s="18">
        <f>SUM(L48:L49)</f>
        <v>42</v>
      </c>
      <c r="M50" s="75"/>
      <c r="N50" s="83"/>
      <c r="O50" s="19"/>
      <c r="P50" s="75"/>
      <c r="Q50" s="83"/>
      <c r="R50" s="17"/>
      <c r="S50" s="17"/>
      <c r="T50" s="77"/>
      <c r="U50" s="83"/>
      <c r="V50" s="84"/>
      <c r="W50" s="19"/>
      <c r="X50" s="19"/>
      <c r="Y50" s="19"/>
      <c r="Z50" s="19"/>
      <c r="AA50" s="77"/>
      <c r="AB50" s="84"/>
      <c r="AC50" s="19"/>
      <c r="AD50" s="77">
        <f>SUM(AD48:AE49)</f>
        <v>42</v>
      </c>
      <c r="AE50" s="84"/>
      <c r="AF50" s="20"/>
      <c r="AG50" s="20"/>
      <c r="AH50" s="78"/>
      <c r="AI50" s="79"/>
    </row>
    <row r="51" spans="1:37" ht="16.35" customHeight="1">
      <c r="B51" s="94" t="s">
        <v>32</v>
      </c>
      <c r="C51" s="95"/>
      <c r="D51" s="95"/>
      <c r="E51" s="95"/>
      <c r="F51" s="95"/>
      <c r="G51" s="95"/>
      <c r="H51" s="95"/>
      <c r="I51" s="95"/>
      <c r="J51" s="95"/>
      <c r="K51" s="95"/>
      <c r="L51" s="96"/>
      <c r="M51" s="95"/>
      <c r="N51" s="95"/>
      <c r="O51" s="95"/>
      <c r="P51" s="95"/>
      <c r="Q51" s="95"/>
      <c r="R51" s="95"/>
      <c r="S51" s="95"/>
      <c r="T51" s="97"/>
      <c r="U51" s="97"/>
      <c r="V51" s="97"/>
      <c r="W51" s="95"/>
      <c r="X51" s="95"/>
      <c r="Y51" s="95"/>
      <c r="Z51" s="98"/>
      <c r="AA51" s="99"/>
      <c r="AB51" s="99"/>
      <c r="AC51" s="95"/>
      <c r="AD51" s="95"/>
      <c r="AE51" s="95"/>
      <c r="AF51" s="95"/>
      <c r="AG51" s="95"/>
      <c r="AH51" s="95"/>
      <c r="AI51" s="100"/>
    </row>
    <row r="52" spans="2:37" ht="24.95" customHeight="1">
      <c r="B52" s="73" t="s">
        <v>61</v>
      </c>
      <c r="C52" s="74"/>
      <c r="D52" s="74"/>
      <c r="E52" s="74"/>
      <c r="F52" s="74"/>
      <c r="G52" s="73">
        <v>851</v>
      </c>
      <c r="H52" s="74"/>
      <c r="I52" s="74"/>
      <c r="J52" s="74"/>
      <c r="K52" s="17">
        <v>21</v>
      </c>
      <c r="L52" s="18">
        <f>K52-M52</f>
        <v>21</v>
      </c>
      <c r="M52" s="75">
        <f>S52+T52+Z52+AA52+AC52</f>
        <v>0</v>
      </c>
      <c r="N52" s="76"/>
      <c r="O52" s="19"/>
      <c r="P52" s="75"/>
      <c r="Q52" s="83"/>
      <c r="R52" s="17"/>
      <c r="S52" s="17"/>
      <c r="T52" s="77"/>
      <c r="U52" s="83"/>
      <c r="V52" s="84"/>
      <c r="W52" s="19"/>
      <c r="X52" s="19"/>
      <c r="Y52" s="19"/>
      <c r="Z52" s="19"/>
      <c r="AA52" s="77"/>
      <c r="AB52" s="84"/>
      <c r="AC52" s="19"/>
      <c r="AD52" s="89">
        <f>K52-M52</f>
        <v>21</v>
      </c>
      <c r="AE52" s="91"/>
      <c r="AF52" s="20"/>
      <c r="AG52" s="20"/>
      <c r="AH52" s="78"/>
      <c r="AI52" s="79"/>
      <c r="AK52" s="1">
        <v>1</v>
      </c>
    </row>
    <row r="53" spans="2:37" ht="24.95" customHeight="1">
      <c r="B53" s="73" t="s">
        <v>62</v>
      </c>
      <c r="C53" s="74"/>
      <c r="D53" s="74"/>
      <c r="E53" s="74"/>
      <c r="F53" s="74"/>
      <c r="G53" s="73">
        <v>862</v>
      </c>
      <c r="H53" s="74"/>
      <c r="I53" s="74"/>
      <c r="J53" s="74"/>
      <c r="K53" s="17">
        <v>21</v>
      </c>
      <c r="L53" s="18">
        <f>K53-M53</f>
        <v>21</v>
      </c>
      <c r="M53" s="75">
        <f>S53+T53+Z53+AA53+AC53</f>
        <v>0</v>
      </c>
      <c r="N53" s="76"/>
      <c r="O53" s="19"/>
      <c r="P53" s="75"/>
      <c r="Q53" s="83"/>
      <c r="R53" s="17"/>
      <c r="S53" s="17"/>
      <c r="T53" s="77"/>
      <c r="U53" s="83"/>
      <c r="V53" s="84"/>
      <c r="W53" s="19"/>
      <c r="X53" s="19"/>
      <c r="Y53" s="19"/>
      <c r="Z53" s="19"/>
      <c r="AA53" s="77"/>
      <c r="AB53" s="84"/>
      <c r="AC53" s="19"/>
      <c r="AD53" s="89">
        <f>K53-M53</f>
        <v>21</v>
      </c>
      <c r="AE53" s="91"/>
      <c r="AF53" s="20"/>
      <c r="AG53" s="20"/>
      <c r="AH53" s="78"/>
      <c r="AI53" s="79"/>
      <c r="AK53" s="1">
        <v>1</v>
      </c>
    </row>
    <row r="54" spans="2:37" ht="16.35" customHeight="1">
      <c r="B54" s="80" t="s">
        <v>60</v>
      </c>
      <c r="C54" s="81"/>
      <c r="D54" s="81"/>
      <c r="E54" s="81"/>
      <c r="F54" s="81"/>
      <c r="G54" s="81"/>
      <c r="H54" s="81"/>
      <c r="I54" s="81"/>
      <c r="J54" s="82"/>
      <c r="K54" s="17">
        <f>SUM(K52:K53)</f>
        <v>42</v>
      </c>
      <c r="L54" s="18">
        <f>SUM(L52:L53)</f>
        <v>42</v>
      </c>
      <c r="M54" s="75"/>
      <c r="N54" s="83"/>
      <c r="O54" s="19"/>
      <c r="P54" s="75"/>
      <c r="Q54" s="83"/>
      <c r="R54" s="17"/>
      <c r="S54" s="17"/>
      <c r="T54" s="77"/>
      <c r="U54" s="83"/>
      <c r="V54" s="84"/>
      <c r="W54" s="19"/>
      <c r="X54" s="19"/>
      <c r="Y54" s="19"/>
      <c r="Z54" s="19"/>
      <c r="AA54" s="77"/>
      <c r="AB54" s="84"/>
      <c r="AC54" s="19"/>
      <c r="AD54" s="77">
        <f>SUM(AD52:AE53)</f>
        <v>42</v>
      </c>
      <c r="AE54" s="84"/>
      <c r="AF54" s="20"/>
      <c r="AG54" s="20"/>
      <c r="AH54" s="78"/>
      <c r="AI54" s="79"/>
    </row>
    <row r="55" spans="1:37" ht="16.35" customHeight="1">
      <c r="B55" s="94" t="s">
        <v>23</v>
      </c>
      <c r="C55" s="95"/>
      <c r="D55" s="95"/>
      <c r="E55" s="95"/>
      <c r="F55" s="95"/>
      <c r="G55" s="95"/>
      <c r="H55" s="95"/>
      <c r="I55" s="95"/>
      <c r="J55" s="95"/>
      <c r="K55" s="95"/>
      <c r="L55" s="96"/>
      <c r="M55" s="95"/>
      <c r="N55" s="95"/>
      <c r="O55" s="95"/>
      <c r="P55" s="95"/>
      <c r="Q55" s="95"/>
      <c r="R55" s="95"/>
      <c r="S55" s="95"/>
      <c r="T55" s="97"/>
      <c r="U55" s="97"/>
      <c r="V55" s="97"/>
      <c r="W55" s="95"/>
      <c r="X55" s="95"/>
      <c r="Y55" s="95"/>
      <c r="Z55" s="98"/>
      <c r="AA55" s="99"/>
      <c r="AB55" s="99"/>
      <c r="AC55" s="95"/>
      <c r="AD55" s="95"/>
      <c r="AE55" s="95"/>
      <c r="AF55" s="95"/>
      <c r="AG55" s="95"/>
      <c r="AH55" s="95"/>
      <c r="AI55" s="100"/>
    </row>
    <row r="56" spans="2:37" ht="16.35" customHeight="1">
      <c r="B56" s="73" t="s">
        <v>63</v>
      </c>
      <c r="C56" s="74"/>
      <c r="D56" s="74"/>
      <c r="E56" s="74"/>
      <c r="F56" s="74"/>
      <c r="G56" s="73">
        <v>867</v>
      </c>
      <c r="H56" s="74"/>
      <c r="I56" s="74"/>
      <c r="J56" s="74"/>
      <c r="K56" s="17">
        <v>21</v>
      </c>
      <c r="L56" s="18">
        <f>K56-M56</f>
        <v>21</v>
      </c>
      <c r="M56" s="75">
        <f>S56+T56+Z56+AA56+AC56</f>
        <v>0</v>
      </c>
      <c r="N56" s="76"/>
      <c r="O56" s="19"/>
      <c r="P56" s="75"/>
      <c r="Q56" s="83"/>
      <c r="R56" s="17"/>
      <c r="S56" s="17"/>
      <c r="T56" s="77"/>
      <c r="U56" s="83"/>
      <c r="V56" s="84"/>
      <c r="W56" s="19"/>
      <c r="X56" s="19"/>
      <c r="Y56" s="19"/>
      <c r="Z56" s="19"/>
      <c r="AA56" s="77"/>
      <c r="AB56" s="84"/>
      <c r="AC56" s="19"/>
      <c r="AD56" s="89">
        <f>K56-M56</f>
        <v>21</v>
      </c>
      <c r="AE56" s="91"/>
      <c r="AF56" s="20"/>
      <c r="AG56" s="20"/>
      <c r="AH56" s="78"/>
      <c r="AI56" s="79"/>
      <c r="AK56" s="1">
        <v>1</v>
      </c>
    </row>
    <row r="57" spans="2:37" ht="16.35" customHeight="1">
      <c r="B57" s="80" t="s">
        <v>64</v>
      </c>
      <c r="C57" s="81"/>
      <c r="D57" s="81"/>
      <c r="E57" s="81"/>
      <c r="F57" s="81"/>
      <c r="G57" s="81"/>
      <c r="H57" s="81"/>
      <c r="I57" s="81"/>
      <c r="J57" s="82"/>
      <c r="K57" s="17">
        <f>SUM(K56:K56)</f>
        <v>21</v>
      </c>
      <c r="L57" s="18">
        <f>SUM(L56:L56)</f>
        <v>21</v>
      </c>
      <c r="M57" s="75"/>
      <c r="N57" s="83"/>
      <c r="O57" s="19"/>
      <c r="P57" s="75"/>
      <c r="Q57" s="83"/>
      <c r="R57" s="17"/>
      <c r="S57" s="17"/>
      <c r="T57" s="77"/>
      <c r="U57" s="83"/>
      <c r="V57" s="84"/>
      <c r="W57" s="19"/>
      <c r="X57" s="19"/>
      <c r="Y57" s="19"/>
      <c r="Z57" s="19"/>
      <c r="AA57" s="77"/>
      <c r="AB57" s="84"/>
      <c r="AC57" s="19"/>
      <c r="AD57" s="77">
        <f>SUM(AD56:AE56)</f>
        <v>21</v>
      </c>
      <c r="AE57" s="84"/>
      <c r="AF57" s="20"/>
      <c r="AG57" s="20"/>
      <c r="AH57" s="78"/>
      <c r="AI57" s="79"/>
    </row>
    <row r="58" spans="1:37" ht="16.35" customHeight="1">
      <c r="B58" s="94" t="s">
        <v>32</v>
      </c>
      <c r="C58" s="95"/>
      <c r="D58" s="95"/>
      <c r="E58" s="95"/>
      <c r="F58" s="95"/>
      <c r="G58" s="95"/>
      <c r="H58" s="95"/>
      <c r="I58" s="95"/>
      <c r="J58" s="95"/>
      <c r="K58" s="95"/>
      <c r="L58" s="96"/>
      <c r="M58" s="95"/>
      <c r="N58" s="95"/>
      <c r="O58" s="95"/>
      <c r="P58" s="95"/>
      <c r="Q58" s="95"/>
      <c r="R58" s="95"/>
      <c r="S58" s="95"/>
      <c r="T58" s="97"/>
      <c r="U58" s="97"/>
      <c r="V58" s="97"/>
      <c r="W58" s="95"/>
      <c r="X58" s="95"/>
      <c r="Y58" s="95"/>
      <c r="Z58" s="98"/>
      <c r="AA58" s="99"/>
      <c r="AB58" s="99"/>
      <c r="AC58" s="95"/>
      <c r="AD58" s="95"/>
      <c r="AE58" s="95"/>
      <c r="AF58" s="95"/>
      <c r="AG58" s="95"/>
      <c r="AH58" s="95"/>
      <c r="AI58" s="100"/>
    </row>
    <row r="59" spans="2:37" ht="24.95" customHeight="1">
      <c r="B59" s="73" t="s">
        <v>65</v>
      </c>
      <c r="C59" s="74"/>
      <c r="D59" s="74"/>
      <c r="E59" s="74"/>
      <c r="F59" s="74"/>
      <c r="G59" s="73">
        <v>870</v>
      </c>
      <c r="H59" s="74"/>
      <c r="I59" s="74"/>
      <c r="J59" s="74"/>
      <c r="K59" s="17">
        <v>21</v>
      </c>
      <c r="L59" s="18">
        <f>K59-M59</f>
        <v>21</v>
      </c>
      <c r="M59" s="75">
        <f>S59+T59+Z59+AA59+AC59</f>
        <v>0</v>
      </c>
      <c r="N59" s="76"/>
      <c r="O59" s="19"/>
      <c r="P59" s="75"/>
      <c r="Q59" s="83"/>
      <c r="R59" s="17"/>
      <c r="S59" s="17"/>
      <c r="T59" s="77"/>
      <c r="U59" s="83"/>
      <c r="V59" s="84"/>
      <c r="W59" s="19"/>
      <c r="X59" s="19"/>
      <c r="Y59" s="19"/>
      <c r="Z59" s="19"/>
      <c r="AA59" s="77"/>
      <c r="AB59" s="84"/>
      <c r="AC59" s="19"/>
      <c r="AD59" s="89">
        <f>K59-M59</f>
        <v>21</v>
      </c>
      <c r="AE59" s="91"/>
      <c r="AF59" s="20"/>
      <c r="AG59" s="20"/>
      <c r="AH59" s="78"/>
      <c r="AI59" s="79"/>
      <c r="AK59" s="1">
        <v>1</v>
      </c>
    </row>
    <row r="60" spans="2:37" ht="24.95" customHeight="1">
      <c r="B60" s="73" t="s">
        <v>66</v>
      </c>
      <c r="C60" s="74"/>
      <c r="D60" s="74"/>
      <c r="E60" s="74"/>
      <c r="F60" s="74"/>
      <c r="G60" s="73">
        <v>873</v>
      </c>
      <c r="H60" s="74"/>
      <c r="I60" s="74"/>
      <c r="J60" s="74"/>
      <c r="K60" s="17">
        <v>21</v>
      </c>
      <c r="L60" s="18">
        <f>K60-M60</f>
        <v>21</v>
      </c>
      <c r="M60" s="75">
        <f>S60+T60+Z60+AA60+AC60</f>
        <v>0</v>
      </c>
      <c r="N60" s="76"/>
      <c r="O60" s="19"/>
      <c r="P60" s="75"/>
      <c r="Q60" s="83"/>
      <c r="R60" s="17"/>
      <c r="S60" s="17"/>
      <c r="T60" s="77"/>
      <c r="U60" s="83"/>
      <c r="V60" s="84"/>
      <c r="W60" s="19"/>
      <c r="X60" s="19"/>
      <c r="Y60" s="19"/>
      <c r="Z60" s="19"/>
      <c r="AA60" s="77"/>
      <c r="AB60" s="84"/>
      <c r="AC60" s="19"/>
      <c r="AD60" s="89">
        <f>K60-M60</f>
        <v>21</v>
      </c>
      <c r="AE60" s="91"/>
      <c r="AF60" s="20"/>
      <c r="AG60" s="20"/>
      <c r="AH60" s="78"/>
      <c r="AI60" s="79"/>
      <c r="AK60" s="1">
        <v>1</v>
      </c>
    </row>
    <row r="61" spans="2:37" ht="24.95" customHeight="1">
      <c r="B61" s="73" t="s">
        <v>67</v>
      </c>
      <c r="C61" s="74"/>
      <c r="D61" s="74"/>
      <c r="E61" s="74"/>
      <c r="F61" s="74"/>
      <c r="G61" s="73">
        <v>873</v>
      </c>
      <c r="H61" s="74"/>
      <c r="I61" s="74"/>
      <c r="J61" s="74"/>
      <c r="K61" s="17">
        <v>21</v>
      </c>
      <c r="L61" s="18">
        <f>K61-M61</f>
        <v>21</v>
      </c>
      <c r="M61" s="75">
        <f>S61+T61+Z61+AA61+AC61</f>
        <v>0</v>
      </c>
      <c r="N61" s="76"/>
      <c r="O61" s="19"/>
      <c r="P61" s="75"/>
      <c r="Q61" s="83"/>
      <c r="R61" s="17"/>
      <c r="S61" s="17"/>
      <c r="T61" s="77"/>
      <c r="U61" s="83"/>
      <c r="V61" s="84"/>
      <c r="W61" s="19"/>
      <c r="X61" s="19"/>
      <c r="Y61" s="19"/>
      <c r="Z61" s="19"/>
      <c r="AA61" s="77"/>
      <c r="AB61" s="84"/>
      <c r="AC61" s="19"/>
      <c r="AD61" s="89">
        <f>K61-M61</f>
        <v>21</v>
      </c>
      <c r="AE61" s="91"/>
      <c r="AF61" s="20"/>
      <c r="AG61" s="20"/>
      <c r="AH61" s="78"/>
      <c r="AI61" s="79"/>
      <c r="AK61" s="1">
        <v>1</v>
      </c>
    </row>
    <row r="62" spans="2:37" ht="16.35" customHeight="1">
      <c r="B62" s="73" t="s">
        <v>68</v>
      </c>
      <c r="C62" s="74"/>
      <c r="D62" s="74"/>
      <c r="E62" s="74"/>
      <c r="F62" s="74"/>
      <c r="G62" s="73">
        <v>892</v>
      </c>
      <c r="H62" s="74"/>
      <c r="I62" s="74"/>
      <c r="J62" s="74"/>
      <c r="K62" s="17">
        <v>21</v>
      </c>
      <c r="L62" s="18">
        <f>K62-M62</f>
        <v>21</v>
      </c>
      <c r="M62" s="75">
        <f>S62+T62+Z62+AA62+AC62</f>
        <v>0</v>
      </c>
      <c r="N62" s="76"/>
      <c r="O62" s="19"/>
      <c r="P62" s="75"/>
      <c r="Q62" s="83"/>
      <c r="R62" s="17"/>
      <c r="S62" s="17"/>
      <c r="T62" s="77"/>
      <c r="U62" s="83"/>
      <c r="V62" s="84"/>
      <c r="W62" s="19"/>
      <c r="X62" s="19"/>
      <c r="Y62" s="19"/>
      <c r="Z62" s="19"/>
      <c r="AA62" s="77"/>
      <c r="AB62" s="84"/>
      <c r="AC62" s="19"/>
      <c r="AD62" s="89">
        <f>K62-M62</f>
        <v>21</v>
      </c>
      <c r="AE62" s="91"/>
      <c r="AF62" s="20"/>
      <c r="AG62" s="20"/>
      <c r="AH62" s="78"/>
      <c r="AI62" s="79"/>
      <c r="AK62" s="1">
        <v>1</v>
      </c>
    </row>
    <row r="63" spans="2:37" ht="16.35" customHeight="1">
      <c r="B63" s="73" t="s">
        <v>69</v>
      </c>
      <c r="C63" s="74"/>
      <c r="D63" s="74"/>
      <c r="E63" s="74"/>
      <c r="F63" s="74"/>
      <c r="G63" s="73">
        <v>928</v>
      </c>
      <c r="H63" s="74"/>
      <c r="I63" s="74"/>
      <c r="J63" s="74"/>
      <c r="K63" s="17">
        <v>21</v>
      </c>
      <c r="L63" s="18">
        <f>K63-M63</f>
        <v>21</v>
      </c>
      <c r="M63" s="75">
        <f>S63+T63+Z63+AA63+AC63</f>
        <v>0</v>
      </c>
      <c r="N63" s="76"/>
      <c r="O63" s="19"/>
      <c r="P63" s="75"/>
      <c r="Q63" s="83"/>
      <c r="R63" s="17"/>
      <c r="S63" s="17"/>
      <c r="T63" s="77"/>
      <c r="U63" s="83"/>
      <c r="V63" s="84"/>
      <c r="W63" s="19"/>
      <c r="X63" s="19"/>
      <c r="Y63" s="19"/>
      <c r="Z63" s="19"/>
      <c r="AA63" s="77"/>
      <c r="AB63" s="84"/>
      <c r="AC63" s="19"/>
      <c r="AD63" s="89">
        <f>K63-M63</f>
        <v>21</v>
      </c>
      <c r="AE63" s="91"/>
      <c r="AF63" s="20"/>
      <c r="AG63" s="20"/>
      <c r="AH63" s="78"/>
      <c r="AI63" s="79"/>
      <c r="AK63" s="1">
        <v>1</v>
      </c>
    </row>
    <row r="64" spans="2:37" ht="16.35" customHeight="1">
      <c r="B64" s="73" t="s">
        <v>70</v>
      </c>
      <c r="C64" s="74"/>
      <c r="D64" s="74"/>
      <c r="E64" s="74"/>
      <c r="F64" s="74"/>
      <c r="G64" s="73">
        <v>1064</v>
      </c>
      <c r="H64" s="74"/>
      <c r="I64" s="74"/>
      <c r="J64" s="74"/>
      <c r="K64" s="17">
        <v>21</v>
      </c>
      <c r="L64" s="18">
        <f>K64-M64</f>
        <v>21</v>
      </c>
      <c r="M64" s="75">
        <f>S64+T64+Z64+AA64+AC64</f>
        <v>0</v>
      </c>
      <c r="N64" s="76"/>
      <c r="O64" s="19"/>
      <c r="P64" s="75"/>
      <c r="Q64" s="83"/>
      <c r="R64" s="17"/>
      <c r="S64" s="17"/>
      <c r="T64" s="77"/>
      <c r="U64" s="83"/>
      <c r="V64" s="84"/>
      <c r="W64" s="19"/>
      <c r="X64" s="19"/>
      <c r="Y64" s="19"/>
      <c r="Z64" s="19"/>
      <c r="AA64" s="77"/>
      <c r="AB64" s="84"/>
      <c r="AC64" s="19"/>
      <c r="AD64" s="89">
        <f>K64-M64</f>
        <v>21</v>
      </c>
      <c r="AE64" s="91"/>
      <c r="AF64" s="20"/>
      <c r="AG64" s="20"/>
      <c r="AH64" s="78"/>
      <c r="AI64" s="79"/>
      <c r="AK64" s="1">
        <v>1</v>
      </c>
    </row>
    <row r="65" spans="2:37" ht="24.95" customHeight="1">
      <c r="B65" s="73" t="s">
        <v>71</v>
      </c>
      <c r="C65" s="74"/>
      <c r="D65" s="74"/>
      <c r="E65" s="74"/>
      <c r="F65" s="74"/>
      <c r="G65" s="73">
        <v>1148</v>
      </c>
      <c r="H65" s="74"/>
      <c r="I65" s="74"/>
      <c r="J65" s="74"/>
      <c r="K65" s="17">
        <v>21</v>
      </c>
      <c r="L65" s="18">
        <f>K65-M65</f>
        <v>21</v>
      </c>
      <c r="M65" s="75">
        <f>S65+T65+Z65+AA65+AC65</f>
        <v>0</v>
      </c>
      <c r="N65" s="76"/>
      <c r="O65" s="19"/>
      <c r="P65" s="75"/>
      <c r="Q65" s="83"/>
      <c r="R65" s="17"/>
      <c r="S65" s="17"/>
      <c r="T65" s="77"/>
      <c r="U65" s="83"/>
      <c r="V65" s="84"/>
      <c r="W65" s="19"/>
      <c r="X65" s="19"/>
      <c r="Y65" s="19"/>
      <c r="Z65" s="19"/>
      <c r="AA65" s="77"/>
      <c r="AB65" s="84"/>
      <c r="AC65" s="19"/>
      <c r="AD65" s="89">
        <f>K65-M65</f>
        <v>21</v>
      </c>
      <c r="AE65" s="91"/>
      <c r="AF65" s="20"/>
      <c r="AG65" s="20"/>
      <c r="AH65" s="78"/>
      <c r="AI65" s="79"/>
      <c r="AK65" s="1">
        <v>1</v>
      </c>
    </row>
    <row r="66" spans="2:37" ht="24.95" customHeight="1">
      <c r="B66" s="73" t="s">
        <v>72</v>
      </c>
      <c r="C66" s="74"/>
      <c r="D66" s="74"/>
      <c r="E66" s="74"/>
      <c r="F66" s="74"/>
      <c r="G66" s="73">
        <v>1159</v>
      </c>
      <c r="H66" s="74"/>
      <c r="I66" s="74"/>
      <c r="J66" s="74"/>
      <c r="K66" s="17">
        <v>21</v>
      </c>
      <c r="L66" s="18">
        <f>K66-M66</f>
        <v>21</v>
      </c>
      <c r="M66" s="75">
        <f>S66+T66+Z66+AA66+AC66</f>
        <v>0</v>
      </c>
      <c r="N66" s="76"/>
      <c r="O66" s="19"/>
      <c r="P66" s="75"/>
      <c r="Q66" s="83"/>
      <c r="R66" s="17"/>
      <c r="S66" s="17"/>
      <c r="T66" s="77"/>
      <c r="U66" s="83"/>
      <c r="V66" s="84"/>
      <c r="W66" s="19"/>
      <c r="X66" s="19"/>
      <c r="Y66" s="19"/>
      <c r="Z66" s="19"/>
      <c r="AA66" s="77"/>
      <c r="AB66" s="84"/>
      <c r="AC66" s="19"/>
      <c r="AD66" s="89">
        <f>K66-M66</f>
        <v>21</v>
      </c>
      <c r="AE66" s="91"/>
      <c r="AF66" s="20"/>
      <c r="AG66" s="20"/>
      <c r="AH66" s="78"/>
      <c r="AI66" s="79"/>
      <c r="AK66" s="1">
        <v>1</v>
      </c>
    </row>
    <row r="67" spans="2:37" ht="16.35" customHeight="1">
      <c r="B67" s="80" t="s">
        <v>73</v>
      </c>
      <c r="C67" s="81"/>
      <c r="D67" s="81"/>
      <c r="E67" s="81"/>
      <c r="F67" s="81"/>
      <c r="G67" s="81"/>
      <c r="H67" s="81"/>
      <c r="I67" s="81"/>
      <c r="J67" s="82"/>
      <c r="K67" s="17">
        <f>SUM(K59:K66)</f>
        <v>168</v>
      </c>
      <c r="L67" s="18">
        <f>SUM(L59:L66)</f>
        <v>168</v>
      </c>
      <c r="M67" s="75"/>
      <c r="N67" s="83"/>
      <c r="O67" s="19"/>
      <c r="P67" s="75"/>
      <c r="Q67" s="83"/>
      <c r="R67" s="17"/>
      <c r="S67" s="17"/>
      <c r="T67" s="77"/>
      <c r="U67" s="83"/>
      <c r="V67" s="84"/>
      <c r="W67" s="19"/>
      <c r="X67" s="19"/>
      <c r="Y67" s="19"/>
      <c r="Z67" s="19"/>
      <c r="AA67" s="77"/>
      <c r="AB67" s="84"/>
      <c r="AC67" s="19"/>
      <c r="AD67" s="77">
        <f>SUM(AD59:AE66)</f>
        <v>168</v>
      </c>
      <c r="AE67" s="84"/>
      <c r="AF67" s="20"/>
      <c r="AG67" s="20"/>
      <c r="AH67" s="78"/>
      <c r="AI67" s="79"/>
    </row>
    <row r="68" spans="1:37" ht="16.35" customHeight="1">
      <c r="B68" s="94" t="s">
        <v>23</v>
      </c>
      <c r="C68" s="95"/>
      <c r="D68" s="95"/>
      <c r="E68" s="95"/>
      <c r="F68" s="95"/>
      <c r="G68" s="95"/>
      <c r="H68" s="95"/>
      <c r="I68" s="95"/>
      <c r="J68" s="95"/>
      <c r="K68" s="95"/>
      <c r="L68" s="96"/>
      <c r="M68" s="95"/>
      <c r="N68" s="95"/>
      <c r="O68" s="95"/>
      <c r="P68" s="95"/>
      <c r="Q68" s="95"/>
      <c r="R68" s="95"/>
      <c r="S68" s="95"/>
      <c r="T68" s="97"/>
      <c r="U68" s="97"/>
      <c r="V68" s="97"/>
      <c r="W68" s="95"/>
      <c r="X68" s="95"/>
      <c r="Y68" s="95"/>
      <c r="Z68" s="98"/>
      <c r="AA68" s="99"/>
      <c r="AB68" s="99"/>
      <c r="AC68" s="95"/>
      <c r="AD68" s="95"/>
      <c r="AE68" s="95"/>
      <c r="AF68" s="95"/>
      <c r="AG68" s="95"/>
      <c r="AH68" s="95"/>
      <c r="AI68" s="100"/>
    </row>
    <row r="69" spans="2:37" ht="24.95" customHeight="1">
      <c r="B69" s="73" t="s">
        <v>74</v>
      </c>
      <c r="C69" s="74"/>
      <c r="D69" s="74"/>
      <c r="E69" s="74"/>
      <c r="F69" s="74"/>
      <c r="G69" s="73">
        <v>1193</v>
      </c>
      <c r="H69" s="74"/>
      <c r="I69" s="74"/>
      <c r="J69" s="74"/>
      <c r="K69" s="17">
        <v>21</v>
      </c>
      <c r="L69" s="18">
        <f>K69-M69</f>
        <v>21</v>
      </c>
      <c r="M69" s="75">
        <f>S69+T69+Z69+AA69+AC69</f>
        <v>0</v>
      </c>
      <c r="N69" s="76"/>
      <c r="O69" s="19"/>
      <c r="P69" s="75"/>
      <c r="Q69" s="83"/>
      <c r="R69" s="17"/>
      <c r="S69" s="17"/>
      <c r="T69" s="77"/>
      <c r="U69" s="83"/>
      <c r="V69" s="84"/>
      <c r="W69" s="19"/>
      <c r="X69" s="19"/>
      <c r="Y69" s="19"/>
      <c r="Z69" s="19"/>
      <c r="AA69" s="77"/>
      <c r="AB69" s="84"/>
      <c r="AC69" s="19"/>
      <c r="AD69" s="89">
        <f>K69-M69</f>
        <v>21</v>
      </c>
      <c r="AE69" s="91"/>
      <c r="AF69" s="20"/>
      <c r="AG69" s="20"/>
      <c r="AH69" s="78"/>
      <c r="AI69" s="79"/>
      <c r="AK69" s="1">
        <v>1</v>
      </c>
    </row>
    <row r="70" spans="2:37" ht="24.95" customHeight="1">
      <c r="B70" s="73" t="s">
        <v>75</v>
      </c>
      <c r="C70" s="74"/>
      <c r="D70" s="74"/>
      <c r="E70" s="74"/>
      <c r="F70" s="74"/>
      <c r="G70" s="73">
        <v>1194</v>
      </c>
      <c r="H70" s="74"/>
      <c r="I70" s="74"/>
      <c r="J70" s="74"/>
      <c r="K70" s="17">
        <v>21</v>
      </c>
      <c r="L70" s="18">
        <f>K70-M70</f>
        <v>21</v>
      </c>
      <c r="M70" s="75">
        <f>S70+T70+Z70+AA70+AC70</f>
        <v>0</v>
      </c>
      <c r="N70" s="76"/>
      <c r="O70" s="19"/>
      <c r="P70" s="75"/>
      <c r="Q70" s="83"/>
      <c r="R70" s="17"/>
      <c r="S70" s="17"/>
      <c r="T70" s="77"/>
      <c r="U70" s="83"/>
      <c r="V70" s="84"/>
      <c r="W70" s="19"/>
      <c r="X70" s="19"/>
      <c r="Y70" s="19"/>
      <c r="Z70" s="19"/>
      <c r="AA70" s="77"/>
      <c r="AB70" s="84"/>
      <c r="AC70" s="19"/>
      <c r="AD70" s="89">
        <f>K70-M70</f>
        <v>21</v>
      </c>
      <c r="AE70" s="91"/>
      <c r="AF70" s="20"/>
      <c r="AG70" s="20"/>
      <c r="AH70" s="78"/>
      <c r="AI70" s="79"/>
      <c r="AK70" s="1">
        <v>1</v>
      </c>
    </row>
    <row r="71" spans="2:37" ht="16.35" customHeight="1">
      <c r="B71" s="80" t="s">
        <v>60</v>
      </c>
      <c r="C71" s="81"/>
      <c r="D71" s="81"/>
      <c r="E71" s="81"/>
      <c r="F71" s="81"/>
      <c r="G71" s="81"/>
      <c r="H71" s="81"/>
      <c r="I71" s="81"/>
      <c r="J71" s="82"/>
      <c r="K71" s="17">
        <f>SUM(K69:K70)</f>
        <v>42</v>
      </c>
      <c r="L71" s="18">
        <f>SUM(L69:L70)</f>
        <v>42</v>
      </c>
      <c r="M71" s="75"/>
      <c r="N71" s="83"/>
      <c r="O71" s="19"/>
      <c r="P71" s="75"/>
      <c r="Q71" s="83"/>
      <c r="R71" s="17"/>
      <c r="S71" s="17"/>
      <c r="T71" s="77"/>
      <c r="U71" s="83"/>
      <c r="V71" s="84"/>
      <c r="W71" s="19"/>
      <c r="X71" s="19"/>
      <c r="Y71" s="19"/>
      <c r="Z71" s="19"/>
      <c r="AA71" s="77"/>
      <c r="AB71" s="84"/>
      <c r="AC71" s="19"/>
      <c r="AD71" s="77">
        <f>SUM(AD69:AE70)</f>
        <v>42</v>
      </c>
      <c r="AE71" s="84"/>
      <c r="AF71" s="20"/>
      <c r="AG71" s="20"/>
      <c r="AH71" s="78"/>
      <c r="AI71" s="79"/>
    </row>
    <row r="72" spans="1:37" ht="16.35" customHeight="1">
      <c r="B72" s="94" t="s">
        <v>32</v>
      </c>
      <c r="C72" s="95"/>
      <c r="D72" s="95"/>
      <c r="E72" s="95"/>
      <c r="F72" s="95"/>
      <c r="G72" s="95"/>
      <c r="H72" s="95"/>
      <c r="I72" s="95"/>
      <c r="J72" s="95"/>
      <c r="K72" s="95"/>
      <c r="L72" s="96"/>
      <c r="M72" s="95"/>
      <c r="N72" s="95"/>
      <c r="O72" s="95"/>
      <c r="P72" s="95"/>
      <c r="Q72" s="95"/>
      <c r="R72" s="95"/>
      <c r="S72" s="95"/>
      <c r="T72" s="97"/>
      <c r="U72" s="97"/>
      <c r="V72" s="97"/>
      <c r="W72" s="95"/>
      <c r="X72" s="95"/>
      <c r="Y72" s="95"/>
      <c r="Z72" s="98"/>
      <c r="AA72" s="99"/>
      <c r="AB72" s="99"/>
      <c r="AC72" s="95"/>
      <c r="AD72" s="95"/>
      <c r="AE72" s="95"/>
      <c r="AF72" s="95"/>
      <c r="AG72" s="95"/>
      <c r="AH72" s="95"/>
      <c r="AI72" s="100"/>
    </row>
    <row r="73" spans="2:37" ht="16.35" customHeight="1">
      <c r="B73" s="73" t="s">
        <v>76</v>
      </c>
      <c r="C73" s="74"/>
      <c r="D73" s="74"/>
      <c r="E73" s="74"/>
      <c r="F73" s="74"/>
      <c r="G73" s="73">
        <v>1247</v>
      </c>
      <c r="H73" s="74"/>
      <c r="I73" s="74"/>
      <c r="J73" s="74"/>
      <c r="K73" s="17">
        <v>21</v>
      </c>
      <c r="L73" s="18">
        <f>K73-M73</f>
        <v>21</v>
      </c>
      <c r="M73" s="75">
        <f>S73+T73+Z73+AA73+AC73</f>
        <v>0</v>
      </c>
      <c r="N73" s="76"/>
      <c r="O73" s="19"/>
      <c r="P73" s="75"/>
      <c r="Q73" s="83"/>
      <c r="R73" s="17"/>
      <c r="S73" s="17"/>
      <c r="T73" s="77"/>
      <c r="U73" s="83"/>
      <c r="V73" s="84"/>
      <c r="W73" s="19"/>
      <c r="X73" s="19"/>
      <c r="Y73" s="19"/>
      <c r="Z73" s="19"/>
      <c r="AA73" s="77"/>
      <c r="AB73" s="84"/>
      <c r="AC73" s="19"/>
      <c r="AD73" s="89">
        <f>K73-M73</f>
        <v>21</v>
      </c>
      <c r="AE73" s="91"/>
      <c r="AF73" s="20"/>
      <c r="AG73" s="20"/>
      <c r="AH73" s="78"/>
      <c r="AI73" s="79"/>
      <c r="AK73" s="1">
        <v>1</v>
      </c>
    </row>
    <row r="74" spans="2:37" ht="24.95" customHeight="1">
      <c r="B74" s="73" t="s">
        <v>77</v>
      </c>
      <c r="C74" s="74"/>
      <c r="D74" s="74"/>
      <c r="E74" s="74"/>
      <c r="F74" s="74"/>
      <c r="G74" s="73">
        <v>1249</v>
      </c>
      <c r="H74" s="74"/>
      <c r="I74" s="74"/>
      <c r="J74" s="74"/>
      <c r="K74" s="17">
        <v>21</v>
      </c>
      <c r="L74" s="18">
        <f>K74-M74</f>
        <v>21</v>
      </c>
      <c r="M74" s="75">
        <f>S74+T74+Z74+AA74+AC74</f>
        <v>0</v>
      </c>
      <c r="N74" s="76"/>
      <c r="O74" s="19"/>
      <c r="P74" s="75"/>
      <c r="Q74" s="83"/>
      <c r="R74" s="17"/>
      <c r="S74" s="17"/>
      <c r="T74" s="77"/>
      <c r="U74" s="83"/>
      <c r="V74" s="84"/>
      <c r="W74" s="19"/>
      <c r="X74" s="19"/>
      <c r="Y74" s="19"/>
      <c r="Z74" s="19"/>
      <c r="AA74" s="77"/>
      <c r="AB74" s="84"/>
      <c r="AC74" s="19"/>
      <c r="AD74" s="89">
        <f>K74-M74</f>
        <v>21</v>
      </c>
      <c r="AE74" s="91"/>
      <c r="AF74" s="20"/>
      <c r="AG74" s="20"/>
      <c r="AH74" s="78"/>
      <c r="AI74" s="79"/>
      <c r="AK74" s="1">
        <v>1</v>
      </c>
    </row>
    <row r="75" spans="2:37" ht="16.35" customHeight="1">
      <c r="B75" s="73" t="s">
        <v>78</v>
      </c>
      <c r="C75" s="74"/>
      <c r="D75" s="74"/>
      <c r="E75" s="74"/>
      <c r="F75" s="74"/>
      <c r="G75" s="73">
        <v>1250</v>
      </c>
      <c r="H75" s="74"/>
      <c r="I75" s="74"/>
      <c r="J75" s="74"/>
      <c r="K75" s="17">
        <v>21</v>
      </c>
      <c r="L75" s="18">
        <f>K75-M75</f>
        <v>21</v>
      </c>
      <c r="M75" s="75">
        <f>S75+T75+Z75+AA75+AC75</f>
        <v>0</v>
      </c>
      <c r="N75" s="76"/>
      <c r="O75" s="19"/>
      <c r="P75" s="75"/>
      <c r="Q75" s="83"/>
      <c r="R75" s="17"/>
      <c r="S75" s="17"/>
      <c r="T75" s="77"/>
      <c r="U75" s="83"/>
      <c r="V75" s="84"/>
      <c r="W75" s="19"/>
      <c r="X75" s="19"/>
      <c r="Y75" s="19"/>
      <c r="Z75" s="19"/>
      <c r="AA75" s="77"/>
      <c r="AB75" s="84"/>
      <c r="AC75" s="19"/>
      <c r="AD75" s="89">
        <f>K75-M75</f>
        <v>21</v>
      </c>
      <c r="AE75" s="91"/>
      <c r="AF75" s="20"/>
      <c r="AG75" s="20"/>
      <c r="AH75" s="78"/>
      <c r="AI75" s="79"/>
      <c r="AK75" s="1">
        <v>1</v>
      </c>
    </row>
    <row r="76" spans="2:37" ht="24.95" customHeight="1">
      <c r="B76" s="73" t="s">
        <v>79</v>
      </c>
      <c r="C76" s="74"/>
      <c r="D76" s="74"/>
      <c r="E76" s="74"/>
      <c r="F76" s="74"/>
      <c r="G76" s="73">
        <v>1251</v>
      </c>
      <c r="H76" s="74"/>
      <c r="I76" s="74"/>
      <c r="J76" s="74"/>
      <c r="K76" s="17">
        <v>21</v>
      </c>
      <c r="L76" s="18">
        <f>K76-M76</f>
        <v>21</v>
      </c>
      <c r="M76" s="75">
        <f>S76+T76+Z76+AA76+AC76</f>
        <v>0</v>
      </c>
      <c r="N76" s="76"/>
      <c r="O76" s="19"/>
      <c r="P76" s="75"/>
      <c r="Q76" s="83"/>
      <c r="R76" s="17"/>
      <c r="S76" s="17"/>
      <c r="T76" s="77"/>
      <c r="U76" s="83"/>
      <c r="V76" s="84"/>
      <c r="W76" s="19"/>
      <c r="X76" s="19"/>
      <c r="Y76" s="19"/>
      <c r="Z76" s="19"/>
      <c r="AA76" s="77"/>
      <c r="AB76" s="84"/>
      <c r="AC76" s="19"/>
      <c r="AD76" s="89">
        <f>K76-M76</f>
        <v>21</v>
      </c>
      <c r="AE76" s="91"/>
      <c r="AF76" s="20"/>
      <c r="AG76" s="20"/>
      <c r="AH76" s="78"/>
      <c r="AI76" s="79"/>
      <c r="AK76" s="1">
        <v>1</v>
      </c>
    </row>
    <row r="77" spans="2:37" ht="24.95" customHeight="1">
      <c r="B77" s="73" t="s">
        <v>80</v>
      </c>
      <c r="C77" s="74"/>
      <c r="D77" s="74"/>
      <c r="E77" s="74"/>
      <c r="F77" s="74"/>
      <c r="G77" s="73">
        <v>1252</v>
      </c>
      <c r="H77" s="74"/>
      <c r="I77" s="74"/>
      <c r="J77" s="74"/>
      <c r="K77" s="17">
        <v>21</v>
      </c>
      <c r="L77" s="18">
        <f>K77-M77</f>
        <v>21</v>
      </c>
      <c r="M77" s="75">
        <f>S77+T77+Z77+AA77+AC77</f>
        <v>0</v>
      </c>
      <c r="N77" s="76"/>
      <c r="O77" s="19"/>
      <c r="P77" s="75"/>
      <c r="Q77" s="83"/>
      <c r="R77" s="17"/>
      <c r="S77" s="17"/>
      <c r="T77" s="77"/>
      <c r="U77" s="83"/>
      <c r="V77" s="84"/>
      <c r="W77" s="19"/>
      <c r="X77" s="19"/>
      <c r="Y77" s="19"/>
      <c r="Z77" s="19"/>
      <c r="AA77" s="77"/>
      <c r="AB77" s="84"/>
      <c r="AC77" s="19"/>
      <c r="AD77" s="89">
        <f>K77-M77</f>
        <v>21</v>
      </c>
      <c r="AE77" s="91"/>
      <c r="AF77" s="20"/>
      <c r="AG77" s="20"/>
      <c r="AH77" s="78"/>
      <c r="AI77" s="79"/>
      <c r="AK77" s="1">
        <v>1</v>
      </c>
    </row>
    <row r="78" spans="2:37" ht="24.95" customHeight="1">
      <c r="B78" s="73" t="s">
        <v>81</v>
      </c>
      <c r="C78" s="74"/>
      <c r="D78" s="74"/>
      <c r="E78" s="74"/>
      <c r="F78" s="74"/>
      <c r="G78" s="73">
        <v>1253</v>
      </c>
      <c r="H78" s="74"/>
      <c r="I78" s="74"/>
      <c r="J78" s="74"/>
      <c r="K78" s="17">
        <v>21</v>
      </c>
      <c r="L78" s="18">
        <f>K78-M78</f>
        <v>21</v>
      </c>
      <c r="M78" s="75">
        <f>S78+T78+Z78+AA78+AC78</f>
        <v>0</v>
      </c>
      <c r="N78" s="76"/>
      <c r="O78" s="19"/>
      <c r="P78" s="75"/>
      <c r="Q78" s="83"/>
      <c r="R78" s="17"/>
      <c r="S78" s="17"/>
      <c r="T78" s="77"/>
      <c r="U78" s="83"/>
      <c r="V78" s="84"/>
      <c r="W78" s="19"/>
      <c r="X78" s="19"/>
      <c r="Y78" s="19"/>
      <c r="Z78" s="19"/>
      <c r="AA78" s="77"/>
      <c r="AB78" s="84"/>
      <c r="AC78" s="19"/>
      <c r="AD78" s="89">
        <f>K78-M78</f>
        <v>21</v>
      </c>
      <c r="AE78" s="91"/>
      <c r="AF78" s="20"/>
      <c r="AG78" s="20"/>
      <c r="AH78" s="78"/>
      <c r="AI78" s="79"/>
      <c r="AK78" s="1">
        <v>1</v>
      </c>
    </row>
    <row r="79" spans="2:37" ht="16.35" customHeight="1">
      <c r="B79" s="73" t="s">
        <v>82</v>
      </c>
      <c r="C79" s="74"/>
      <c r="D79" s="74"/>
      <c r="E79" s="74"/>
      <c r="F79" s="74"/>
      <c r="G79" s="73">
        <v>1254</v>
      </c>
      <c r="H79" s="74"/>
      <c r="I79" s="74"/>
      <c r="J79" s="74"/>
      <c r="K79" s="17">
        <v>21</v>
      </c>
      <c r="L79" s="18">
        <f>K79-M79</f>
        <v>21</v>
      </c>
      <c r="M79" s="75">
        <f>S79+T79+Z79+AA79+AC79</f>
        <v>0</v>
      </c>
      <c r="N79" s="76"/>
      <c r="O79" s="19"/>
      <c r="P79" s="75"/>
      <c r="Q79" s="83"/>
      <c r="R79" s="17"/>
      <c r="S79" s="17"/>
      <c r="T79" s="77"/>
      <c r="U79" s="83"/>
      <c r="V79" s="84"/>
      <c r="W79" s="19"/>
      <c r="X79" s="19"/>
      <c r="Y79" s="19"/>
      <c r="Z79" s="19"/>
      <c r="AA79" s="77"/>
      <c r="AB79" s="84"/>
      <c r="AC79" s="19"/>
      <c r="AD79" s="89">
        <f>K79-M79</f>
        <v>21</v>
      </c>
      <c r="AE79" s="91"/>
      <c r="AF79" s="20"/>
      <c r="AG79" s="20"/>
      <c r="AH79" s="78"/>
      <c r="AI79" s="79"/>
      <c r="AK79" s="1">
        <v>1</v>
      </c>
    </row>
    <row r="80" spans="2:37" ht="24.95" customHeight="1">
      <c r="B80" s="73" t="s">
        <v>83</v>
      </c>
      <c r="C80" s="74"/>
      <c r="D80" s="74"/>
      <c r="E80" s="74"/>
      <c r="F80" s="74"/>
      <c r="G80" s="73">
        <v>1255</v>
      </c>
      <c r="H80" s="74"/>
      <c r="I80" s="74"/>
      <c r="J80" s="74"/>
      <c r="K80" s="17">
        <v>21</v>
      </c>
      <c r="L80" s="18">
        <f>K80-M80</f>
        <v>21</v>
      </c>
      <c r="M80" s="75">
        <f>S80+T80+Z80+AA80+AC80</f>
        <v>0</v>
      </c>
      <c r="N80" s="76"/>
      <c r="O80" s="19"/>
      <c r="P80" s="75"/>
      <c r="Q80" s="83"/>
      <c r="R80" s="17"/>
      <c r="S80" s="17"/>
      <c r="T80" s="77"/>
      <c r="U80" s="83"/>
      <c r="V80" s="84"/>
      <c r="W80" s="19"/>
      <c r="X80" s="19"/>
      <c r="Y80" s="19"/>
      <c r="Z80" s="19"/>
      <c r="AA80" s="77"/>
      <c r="AB80" s="84"/>
      <c r="AC80" s="19"/>
      <c r="AD80" s="89">
        <f>K80-M80</f>
        <v>21</v>
      </c>
      <c r="AE80" s="91"/>
      <c r="AF80" s="20"/>
      <c r="AG80" s="20"/>
      <c r="AH80" s="78"/>
      <c r="AI80" s="79"/>
      <c r="AK80" s="1">
        <v>1</v>
      </c>
    </row>
    <row r="81" spans="2:37" ht="24.95" customHeight="1">
      <c r="B81" s="73" t="s">
        <v>84</v>
      </c>
      <c r="C81" s="74"/>
      <c r="D81" s="74"/>
      <c r="E81" s="74"/>
      <c r="F81" s="74"/>
      <c r="G81" s="73">
        <v>1260</v>
      </c>
      <c r="H81" s="74"/>
      <c r="I81" s="74"/>
      <c r="J81" s="74"/>
      <c r="K81" s="17">
        <v>21</v>
      </c>
      <c r="L81" s="18">
        <f>K81-M81</f>
        <v>21</v>
      </c>
      <c r="M81" s="75">
        <f>S81+T81+Z81+AA81+AC81</f>
        <v>0</v>
      </c>
      <c r="N81" s="76"/>
      <c r="O81" s="19"/>
      <c r="P81" s="75"/>
      <c r="Q81" s="83"/>
      <c r="R81" s="17"/>
      <c r="S81" s="17"/>
      <c r="T81" s="77"/>
      <c r="U81" s="83"/>
      <c r="V81" s="84"/>
      <c r="W81" s="19"/>
      <c r="X81" s="19"/>
      <c r="Y81" s="19"/>
      <c r="Z81" s="19"/>
      <c r="AA81" s="77"/>
      <c r="AB81" s="84"/>
      <c r="AC81" s="19"/>
      <c r="AD81" s="89">
        <f>K81-M81</f>
        <v>21</v>
      </c>
      <c r="AE81" s="91"/>
      <c r="AF81" s="20"/>
      <c r="AG81" s="20"/>
      <c r="AH81" s="78"/>
      <c r="AI81" s="79"/>
      <c r="AK81" s="1">
        <v>1</v>
      </c>
    </row>
    <row r="82" spans="2:37" ht="16.35" customHeight="1">
      <c r="B82" s="80" t="s">
        <v>85</v>
      </c>
      <c r="C82" s="81"/>
      <c r="D82" s="81"/>
      <c r="E82" s="81"/>
      <c r="F82" s="81"/>
      <c r="G82" s="81"/>
      <c r="H82" s="81"/>
      <c r="I82" s="81"/>
      <c r="J82" s="82"/>
      <c r="K82" s="17">
        <f>SUM(K73:K81)</f>
        <v>189</v>
      </c>
      <c r="L82" s="18">
        <f>SUM(L73:L81)</f>
        <v>189</v>
      </c>
      <c r="M82" s="75"/>
      <c r="N82" s="83"/>
      <c r="O82" s="19"/>
      <c r="P82" s="75"/>
      <c r="Q82" s="83"/>
      <c r="R82" s="17"/>
      <c r="S82" s="17"/>
      <c r="T82" s="77"/>
      <c r="U82" s="83"/>
      <c r="V82" s="84"/>
      <c r="W82" s="19"/>
      <c r="X82" s="19"/>
      <c r="Y82" s="19"/>
      <c r="Z82" s="19"/>
      <c r="AA82" s="77"/>
      <c r="AB82" s="84"/>
      <c r="AC82" s="19"/>
      <c r="AD82" s="77">
        <f>SUM(AD73:AE81)</f>
        <v>189</v>
      </c>
      <c r="AE82" s="84"/>
      <c r="AF82" s="20"/>
      <c r="AG82" s="20"/>
      <c r="AH82" s="78"/>
      <c r="AI82" s="79"/>
    </row>
    <row r="83" spans="1:37" ht="16.35" customHeight="1">
      <c r="B83" s="94" t="s">
        <v>23</v>
      </c>
      <c r="C83" s="95"/>
      <c r="D83" s="95"/>
      <c r="E83" s="95"/>
      <c r="F83" s="95"/>
      <c r="G83" s="95"/>
      <c r="H83" s="95"/>
      <c r="I83" s="95"/>
      <c r="J83" s="95"/>
      <c r="K83" s="95"/>
      <c r="L83" s="96"/>
      <c r="M83" s="95"/>
      <c r="N83" s="95"/>
      <c r="O83" s="95"/>
      <c r="P83" s="95"/>
      <c r="Q83" s="95"/>
      <c r="R83" s="95"/>
      <c r="S83" s="95"/>
      <c r="T83" s="97"/>
      <c r="U83" s="97"/>
      <c r="V83" s="97"/>
      <c r="W83" s="95"/>
      <c r="X83" s="95"/>
      <c r="Y83" s="95"/>
      <c r="Z83" s="98"/>
      <c r="AA83" s="99"/>
      <c r="AB83" s="99"/>
      <c r="AC83" s="95"/>
      <c r="AD83" s="95"/>
      <c r="AE83" s="95"/>
      <c r="AF83" s="95"/>
      <c r="AG83" s="95"/>
      <c r="AH83" s="95"/>
      <c r="AI83" s="100"/>
    </row>
    <row r="84" spans="2:37" ht="24.95" customHeight="1">
      <c r="B84" s="73" t="s">
        <v>86</v>
      </c>
      <c r="C84" s="74"/>
      <c r="D84" s="74"/>
      <c r="E84" s="74"/>
      <c r="F84" s="74"/>
      <c r="G84" s="73">
        <v>1280</v>
      </c>
      <c r="H84" s="74"/>
      <c r="I84" s="74"/>
      <c r="J84" s="74"/>
      <c r="K84" s="17">
        <v>21</v>
      </c>
      <c r="L84" s="18">
        <f>K84-M84</f>
        <v>21</v>
      </c>
      <c r="M84" s="75">
        <f>S84+T84+Z84+AA84+AC84</f>
        <v>0</v>
      </c>
      <c r="N84" s="76"/>
      <c r="O84" s="19"/>
      <c r="P84" s="75"/>
      <c r="Q84" s="83"/>
      <c r="R84" s="17"/>
      <c r="S84" s="17"/>
      <c r="T84" s="77"/>
      <c r="U84" s="83"/>
      <c r="V84" s="84"/>
      <c r="W84" s="19"/>
      <c r="X84" s="19"/>
      <c r="Y84" s="19"/>
      <c r="Z84" s="19"/>
      <c r="AA84" s="77"/>
      <c r="AB84" s="84"/>
      <c r="AC84" s="19"/>
      <c r="AD84" s="89">
        <f>K84-M84</f>
        <v>21</v>
      </c>
      <c r="AE84" s="91"/>
      <c r="AF84" s="20"/>
      <c r="AG84" s="20"/>
      <c r="AH84" s="78"/>
      <c r="AI84" s="79"/>
      <c r="AK84" s="1">
        <v>1</v>
      </c>
    </row>
    <row r="85" spans="2:37" ht="16.35" customHeight="1">
      <c r="B85" s="80" t="s">
        <v>64</v>
      </c>
      <c r="C85" s="81"/>
      <c r="D85" s="81"/>
      <c r="E85" s="81"/>
      <c r="F85" s="81"/>
      <c r="G85" s="81"/>
      <c r="H85" s="81"/>
      <c r="I85" s="81"/>
      <c r="J85" s="82"/>
      <c r="K85" s="17">
        <f>SUM(K84:K84)</f>
        <v>21</v>
      </c>
      <c r="L85" s="18">
        <f>SUM(L84:L84)</f>
        <v>21</v>
      </c>
      <c r="M85" s="75"/>
      <c r="N85" s="83"/>
      <c r="O85" s="19"/>
      <c r="P85" s="75"/>
      <c r="Q85" s="83"/>
      <c r="R85" s="17"/>
      <c r="S85" s="17"/>
      <c r="T85" s="77"/>
      <c r="U85" s="83"/>
      <c r="V85" s="84"/>
      <c r="W85" s="19"/>
      <c r="X85" s="19"/>
      <c r="Y85" s="19"/>
      <c r="Z85" s="19"/>
      <c r="AA85" s="77"/>
      <c r="AB85" s="84"/>
      <c r="AC85" s="19"/>
      <c r="AD85" s="77">
        <f>SUM(AD84:AE84)</f>
        <v>21</v>
      </c>
      <c r="AE85" s="84"/>
      <c r="AF85" s="20"/>
      <c r="AG85" s="20"/>
      <c r="AH85" s="78"/>
      <c r="AI85" s="79"/>
    </row>
    <row r="86" spans="1:37" ht="16.35" customHeight="1">
      <c r="B86" s="94" t="s">
        <v>32</v>
      </c>
      <c r="C86" s="95"/>
      <c r="D86" s="95"/>
      <c r="E86" s="95"/>
      <c r="F86" s="95"/>
      <c r="G86" s="95"/>
      <c r="H86" s="95"/>
      <c r="I86" s="95"/>
      <c r="J86" s="95"/>
      <c r="K86" s="95"/>
      <c r="L86" s="96"/>
      <c r="M86" s="95"/>
      <c r="N86" s="95"/>
      <c r="O86" s="95"/>
      <c r="P86" s="95"/>
      <c r="Q86" s="95"/>
      <c r="R86" s="95"/>
      <c r="S86" s="95"/>
      <c r="T86" s="97"/>
      <c r="U86" s="97"/>
      <c r="V86" s="97"/>
      <c r="W86" s="95"/>
      <c r="X86" s="95"/>
      <c r="Y86" s="95"/>
      <c r="Z86" s="98"/>
      <c r="AA86" s="99"/>
      <c r="AB86" s="99"/>
      <c r="AC86" s="95"/>
      <c r="AD86" s="95"/>
      <c r="AE86" s="95"/>
      <c r="AF86" s="95"/>
      <c r="AG86" s="95"/>
      <c r="AH86" s="95"/>
      <c r="AI86" s="100"/>
    </row>
    <row r="87" spans="2:37" ht="16.35" customHeight="1">
      <c r="B87" s="73" t="s">
        <v>87</v>
      </c>
      <c r="C87" s="74"/>
      <c r="D87" s="74"/>
      <c r="E87" s="74"/>
      <c r="F87" s="74"/>
      <c r="G87" s="73">
        <v>1292</v>
      </c>
      <c r="H87" s="74"/>
      <c r="I87" s="74"/>
      <c r="J87" s="74"/>
      <c r="K87" s="17">
        <v>21</v>
      </c>
      <c r="L87" s="18">
        <f>K87-M87</f>
        <v>21</v>
      </c>
      <c r="M87" s="75">
        <f>S87+T87+Z87+AA87+AC87</f>
        <v>0</v>
      </c>
      <c r="N87" s="76"/>
      <c r="O87" s="19"/>
      <c r="P87" s="75"/>
      <c r="Q87" s="83"/>
      <c r="R87" s="17"/>
      <c r="S87" s="17"/>
      <c r="T87" s="77"/>
      <c r="U87" s="83"/>
      <c r="V87" s="84"/>
      <c r="W87" s="19"/>
      <c r="X87" s="19"/>
      <c r="Y87" s="19"/>
      <c r="Z87" s="19"/>
      <c r="AA87" s="77"/>
      <c r="AB87" s="84"/>
      <c r="AC87" s="19"/>
      <c r="AD87" s="89">
        <f>K87-M87</f>
        <v>21</v>
      </c>
      <c r="AE87" s="91"/>
      <c r="AF87" s="20"/>
      <c r="AG87" s="20"/>
      <c r="AH87" s="78"/>
      <c r="AI87" s="79"/>
      <c r="AK87" s="1">
        <v>1</v>
      </c>
    </row>
    <row r="88" spans="2:37" ht="24.95" customHeight="1">
      <c r="B88" s="73" t="s">
        <v>88</v>
      </c>
      <c r="C88" s="74"/>
      <c r="D88" s="74"/>
      <c r="E88" s="74"/>
      <c r="F88" s="74"/>
      <c r="G88" s="73">
        <v>1298</v>
      </c>
      <c r="H88" s="74"/>
      <c r="I88" s="74"/>
      <c r="J88" s="74"/>
      <c r="K88" s="17">
        <v>21</v>
      </c>
      <c r="L88" s="18">
        <f>K88-M88</f>
        <v>21</v>
      </c>
      <c r="M88" s="75">
        <f>S88+T88+Z88+AA88+AC88</f>
        <v>0</v>
      </c>
      <c r="N88" s="76"/>
      <c r="O88" s="19"/>
      <c r="P88" s="75"/>
      <c r="Q88" s="83"/>
      <c r="R88" s="17"/>
      <c r="S88" s="17"/>
      <c r="T88" s="77"/>
      <c r="U88" s="83"/>
      <c r="V88" s="84"/>
      <c r="W88" s="19"/>
      <c r="X88" s="19"/>
      <c r="Y88" s="19"/>
      <c r="Z88" s="19"/>
      <c r="AA88" s="77"/>
      <c r="AB88" s="84"/>
      <c r="AC88" s="19"/>
      <c r="AD88" s="89">
        <f>K88-M88</f>
        <v>21</v>
      </c>
      <c r="AE88" s="91"/>
      <c r="AF88" s="20"/>
      <c r="AG88" s="20"/>
      <c r="AH88" s="78"/>
      <c r="AI88" s="79"/>
      <c r="AK88" s="1">
        <v>1</v>
      </c>
    </row>
    <row r="89" spans="2:37" ht="24.95" customHeight="1">
      <c r="B89" s="73" t="s">
        <v>89</v>
      </c>
      <c r="C89" s="74"/>
      <c r="D89" s="74"/>
      <c r="E89" s="74"/>
      <c r="F89" s="74"/>
      <c r="G89" s="73">
        <v>1299</v>
      </c>
      <c r="H89" s="74"/>
      <c r="I89" s="74"/>
      <c r="J89" s="74"/>
      <c r="K89" s="17">
        <v>21</v>
      </c>
      <c r="L89" s="18">
        <f>K89-M89</f>
        <v>21</v>
      </c>
      <c r="M89" s="75">
        <f>S89+T89+Z89+AA89+AC89</f>
        <v>0</v>
      </c>
      <c r="N89" s="76"/>
      <c r="O89" s="19"/>
      <c r="P89" s="75"/>
      <c r="Q89" s="83"/>
      <c r="R89" s="17"/>
      <c r="S89" s="17"/>
      <c r="T89" s="77"/>
      <c r="U89" s="83"/>
      <c r="V89" s="84"/>
      <c r="W89" s="19"/>
      <c r="X89" s="19"/>
      <c r="Y89" s="19"/>
      <c r="Z89" s="19"/>
      <c r="AA89" s="77"/>
      <c r="AB89" s="84"/>
      <c r="AC89" s="19"/>
      <c r="AD89" s="89">
        <f>K89-M89</f>
        <v>21</v>
      </c>
      <c r="AE89" s="91"/>
      <c r="AF89" s="20"/>
      <c r="AG89" s="20"/>
      <c r="AH89" s="78"/>
      <c r="AI89" s="79"/>
      <c r="AK89" s="1">
        <v>1</v>
      </c>
    </row>
    <row r="90" spans="2:37" ht="16.35" customHeight="1">
      <c r="B90" s="73" t="s">
        <v>90</v>
      </c>
      <c r="C90" s="74"/>
      <c r="D90" s="74"/>
      <c r="E90" s="74"/>
      <c r="F90" s="74"/>
      <c r="G90" s="73">
        <v>1305</v>
      </c>
      <c r="H90" s="74"/>
      <c r="I90" s="74"/>
      <c r="J90" s="74"/>
      <c r="K90" s="17">
        <v>21</v>
      </c>
      <c r="L90" s="18">
        <f>K90-M90</f>
        <v>21</v>
      </c>
      <c r="M90" s="75">
        <f>S90+T90+Z90+AA90+AC90</f>
        <v>0</v>
      </c>
      <c r="N90" s="76"/>
      <c r="O90" s="19"/>
      <c r="P90" s="75"/>
      <c r="Q90" s="83"/>
      <c r="R90" s="17"/>
      <c r="S90" s="17"/>
      <c r="T90" s="77"/>
      <c r="U90" s="83"/>
      <c r="V90" s="84"/>
      <c r="W90" s="19"/>
      <c r="X90" s="19"/>
      <c r="Y90" s="19"/>
      <c r="Z90" s="19"/>
      <c r="AA90" s="77"/>
      <c r="AB90" s="84"/>
      <c r="AC90" s="19"/>
      <c r="AD90" s="89">
        <f>K90-M90</f>
        <v>21</v>
      </c>
      <c r="AE90" s="91"/>
      <c r="AF90" s="20"/>
      <c r="AG90" s="20"/>
      <c r="AH90" s="78"/>
      <c r="AI90" s="79"/>
      <c r="AK90" s="1">
        <v>1</v>
      </c>
    </row>
    <row r="91" spans="2:37" ht="16.35" customHeight="1">
      <c r="B91" s="80" t="s">
        <v>91</v>
      </c>
      <c r="C91" s="81"/>
      <c r="D91" s="81"/>
      <c r="E91" s="81"/>
      <c r="F91" s="81"/>
      <c r="G91" s="81"/>
      <c r="H91" s="81"/>
      <c r="I91" s="81"/>
      <c r="J91" s="82"/>
      <c r="K91" s="17">
        <f>SUM(K87:K90)</f>
        <v>84</v>
      </c>
      <c r="L91" s="18">
        <f>SUM(L87:L90)</f>
        <v>84</v>
      </c>
      <c r="M91" s="75"/>
      <c r="N91" s="83"/>
      <c r="O91" s="19"/>
      <c r="P91" s="75"/>
      <c r="Q91" s="83"/>
      <c r="R91" s="17"/>
      <c r="S91" s="17"/>
      <c r="T91" s="77"/>
      <c r="U91" s="83"/>
      <c r="V91" s="84"/>
      <c r="W91" s="19"/>
      <c r="X91" s="19"/>
      <c r="Y91" s="19"/>
      <c r="Z91" s="19"/>
      <c r="AA91" s="77"/>
      <c r="AB91" s="84"/>
      <c r="AC91" s="19"/>
      <c r="AD91" s="77">
        <f>SUM(AD87:AE90)</f>
        <v>84</v>
      </c>
      <c r="AE91" s="84"/>
      <c r="AF91" s="20"/>
      <c r="AG91" s="20"/>
      <c r="AH91" s="78"/>
      <c r="AI91" s="79"/>
    </row>
    <row r="92" spans="1:37" ht="16.35" customHeight="1">
      <c r="B92" s="94" t="s">
        <v>23</v>
      </c>
      <c r="C92" s="95"/>
      <c r="D92" s="95"/>
      <c r="E92" s="95"/>
      <c r="F92" s="95"/>
      <c r="G92" s="95"/>
      <c r="H92" s="95"/>
      <c r="I92" s="95"/>
      <c r="J92" s="95"/>
      <c r="K92" s="95"/>
      <c r="L92" s="96"/>
      <c r="M92" s="95"/>
      <c r="N92" s="95"/>
      <c r="O92" s="95"/>
      <c r="P92" s="95"/>
      <c r="Q92" s="95"/>
      <c r="R92" s="95"/>
      <c r="S92" s="95"/>
      <c r="T92" s="97"/>
      <c r="U92" s="97"/>
      <c r="V92" s="97"/>
      <c r="W92" s="95"/>
      <c r="X92" s="95"/>
      <c r="Y92" s="95"/>
      <c r="Z92" s="98"/>
      <c r="AA92" s="99"/>
      <c r="AB92" s="99"/>
      <c r="AC92" s="95"/>
      <c r="AD92" s="95"/>
      <c r="AE92" s="95"/>
      <c r="AF92" s="95"/>
      <c r="AG92" s="95"/>
      <c r="AH92" s="95"/>
      <c r="AI92" s="100"/>
    </row>
    <row r="93" spans="2:37" ht="24.95" customHeight="1">
      <c r="B93" s="73" t="s">
        <v>92</v>
      </c>
      <c r="C93" s="74"/>
      <c r="D93" s="74"/>
      <c r="E93" s="74"/>
      <c r="F93" s="74"/>
      <c r="G93" s="73">
        <v>1339</v>
      </c>
      <c r="H93" s="74"/>
      <c r="I93" s="74"/>
      <c r="J93" s="74"/>
      <c r="K93" s="17">
        <v>21</v>
      </c>
      <c r="L93" s="18">
        <f>K93-M93</f>
        <v>21</v>
      </c>
      <c r="M93" s="75">
        <f>S93+T93+Z93+AA93+AC93</f>
        <v>0</v>
      </c>
      <c r="N93" s="76"/>
      <c r="O93" s="19"/>
      <c r="P93" s="75"/>
      <c r="Q93" s="83"/>
      <c r="R93" s="17"/>
      <c r="S93" s="17"/>
      <c r="T93" s="77"/>
      <c r="U93" s="83"/>
      <c r="V93" s="84"/>
      <c r="W93" s="19"/>
      <c r="X93" s="19"/>
      <c r="Y93" s="19"/>
      <c r="Z93" s="19"/>
      <c r="AA93" s="77"/>
      <c r="AB93" s="84"/>
      <c r="AC93" s="19"/>
      <c r="AD93" s="89">
        <f>K93-M93</f>
        <v>21</v>
      </c>
      <c r="AE93" s="91"/>
      <c r="AF93" s="20"/>
      <c r="AG93" s="20"/>
      <c r="AH93" s="78"/>
      <c r="AI93" s="79"/>
      <c r="AK93" s="1">
        <v>1</v>
      </c>
    </row>
    <row r="94" spans="2:37" ht="16.35" customHeight="1">
      <c r="B94" s="73" t="s">
        <v>93</v>
      </c>
      <c r="C94" s="74"/>
      <c r="D94" s="74"/>
      <c r="E94" s="74"/>
      <c r="F94" s="74"/>
      <c r="G94" s="73">
        <v>1340</v>
      </c>
      <c r="H94" s="74"/>
      <c r="I94" s="74"/>
      <c r="J94" s="74"/>
      <c r="K94" s="17">
        <v>21</v>
      </c>
      <c r="L94" s="18">
        <f>K94-M94</f>
        <v>21</v>
      </c>
      <c r="M94" s="75">
        <f>S94+T94+Z94+AA94+AC94</f>
        <v>0</v>
      </c>
      <c r="N94" s="76"/>
      <c r="O94" s="19"/>
      <c r="P94" s="75"/>
      <c r="Q94" s="83"/>
      <c r="R94" s="17"/>
      <c r="S94" s="17"/>
      <c r="T94" s="77"/>
      <c r="U94" s="83"/>
      <c r="V94" s="84"/>
      <c r="W94" s="19"/>
      <c r="X94" s="19"/>
      <c r="Y94" s="19"/>
      <c r="Z94" s="19"/>
      <c r="AA94" s="77"/>
      <c r="AB94" s="84"/>
      <c r="AC94" s="19"/>
      <c r="AD94" s="89">
        <f>K94-M94</f>
        <v>21</v>
      </c>
      <c r="AE94" s="91"/>
      <c r="AF94" s="20"/>
      <c r="AG94" s="20"/>
      <c r="AH94" s="78"/>
      <c r="AI94" s="79"/>
      <c r="AK94" s="1">
        <v>1</v>
      </c>
    </row>
    <row r="95" spans="2:37" ht="16.35" customHeight="1">
      <c r="B95" s="73" t="s">
        <v>94</v>
      </c>
      <c r="C95" s="74"/>
      <c r="D95" s="74"/>
      <c r="E95" s="74"/>
      <c r="F95" s="74"/>
      <c r="G95" s="73">
        <v>1341</v>
      </c>
      <c r="H95" s="74"/>
      <c r="I95" s="74"/>
      <c r="J95" s="74"/>
      <c r="K95" s="17">
        <v>21</v>
      </c>
      <c r="L95" s="18">
        <f>K95-M95</f>
        <v>21</v>
      </c>
      <c r="M95" s="75">
        <f>S95+T95+Z95+AA95+AC95</f>
        <v>0</v>
      </c>
      <c r="N95" s="76"/>
      <c r="O95" s="19"/>
      <c r="P95" s="75"/>
      <c r="Q95" s="83"/>
      <c r="R95" s="17"/>
      <c r="S95" s="17"/>
      <c r="T95" s="77"/>
      <c r="U95" s="83"/>
      <c r="V95" s="84"/>
      <c r="W95" s="19"/>
      <c r="X95" s="19"/>
      <c r="Y95" s="19"/>
      <c r="Z95" s="19"/>
      <c r="AA95" s="77"/>
      <c r="AB95" s="84"/>
      <c r="AC95" s="19"/>
      <c r="AD95" s="89">
        <f>K95-M95</f>
        <v>21</v>
      </c>
      <c r="AE95" s="91"/>
      <c r="AF95" s="20"/>
      <c r="AG95" s="20"/>
      <c r="AH95" s="78"/>
      <c r="AI95" s="79"/>
      <c r="AK95" s="1">
        <v>1</v>
      </c>
    </row>
    <row r="96" spans="2:37" ht="16.35" customHeight="1">
      <c r="B96" s="80" t="s">
        <v>95</v>
      </c>
      <c r="C96" s="81"/>
      <c r="D96" s="81"/>
      <c r="E96" s="81"/>
      <c r="F96" s="81"/>
      <c r="G96" s="81"/>
      <c r="H96" s="81"/>
      <c r="I96" s="81"/>
      <c r="J96" s="82"/>
      <c r="K96" s="17">
        <f>SUM(K93:K95)</f>
        <v>63</v>
      </c>
      <c r="L96" s="18">
        <f>SUM(L93:L95)</f>
        <v>63</v>
      </c>
      <c r="M96" s="75"/>
      <c r="N96" s="83"/>
      <c r="O96" s="19"/>
      <c r="P96" s="75"/>
      <c r="Q96" s="83"/>
      <c r="R96" s="17"/>
      <c r="S96" s="17"/>
      <c r="T96" s="77"/>
      <c r="U96" s="83"/>
      <c r="V96" s="84"/>
      <c r="W96" s="19"/>
      <c r="X96" s="19"/>
      <c r="Y96" s="19"/>
      <c r="Z96" s="19"/>
      <c r="AA96" s="77"/>
      <c r="AB96" s="84"/>
      <c r="AC96" s="19"/>
      <c r="AD96" s="77">
        <f>SUM(AD93:AE95)</f>
        <v>63</v>
      </c>
      <c r="AE96" s="84"/>
      <c r="AF96" s="20"/>
      <c r="AG96" s="20"/>
      <c r="AH96" s="78"/>
      <c r="AI96" s="79"/>
    </row>
    <row r="97" spans="1:37" ht="16.35" customHeight="1">
      <c r="B97" s="94" t="s">
        <v>32</v>
      </c>
      <c r="C97" s="95"/>
      <c r="D97" s="95"/>
      <c r="E97" s="95"/>
      <c r="F97" s="95"/>
      <c r="G97" s="95"/>
      <c r="H97" s="95"/>
      <c r="I97" s="95"/>
      <c r="J97" s="95"/>
      <c r="K97" s="95"/>
      <c r="L97" s="96"/>
      <c r="M97" s="95"/>
      <c r="N97" s="95"/>
      <c r="O97" s="95"/>
      <c r="P97" s="95"/>
      <c r="Q97" s="95"/>
      <c r="R97" s="95"/>
      <c r="S97" s="95"/>
      <c r="T97" s="97"/>
      <c r="U97" s="97"/>
      <c r="V97" s="97"/>
      <c r="W97" s="95"/>
      <c r="X97" s="95"/>
      <c r="Y97" s="95"/>
      <c r="Z97" s="98"/>
      <c r="AA97" s="99"/>
      <c r="AB97" s="99"/>
      <c r="AC97" s="95"/>
      <c r="AD97" s="95"/>
      <c r="AE97" s="95"/>
      <c r="AF97" s="95"/>
      <c r="AG97" s="95"/>
      <c r="AH97" s="95"/>
      <c r="AI97" s="100"/>
    </row>
    <row r="98" spans="1:37" ht="16.35" customHeight="1">
      <c r="B98" s="94" t="s">
        <v>96</v>
      </c>
      <c r="C98" s="95"/>
      <c r="D98" s="95"/>
      <c r="E98" s="95"/>
      <c r="F98" s="95"/>
      <c r="G98" s="95"/>
      <c r="H98" s="95"/>
      <c r="I98" s="95"/>
      <c r="J98" s="95"/>
      <c r="K98" s="95"/>
      <c r="L98" s="96"/>
      <c r="M98" s="95"/>
      <c r="N98" s="95"/>
      <c r="O98" s="95"/>
      <c r="P98" s="95"/>
      <c r="Q98" s="95"/>
      <c r="R98" s="95"/>
      <c r="S98" s="95"/>
      <c r="T98" s="97"/>
      <c r="U98" s="97"/>
      <c r="V98" s="97"/>
      <c r="W98" s="95"/>
      <c r="X98" s="95"/>
      <c r="Y98" s="95"/>
      <c r="Z98" s="98"/>
      <c r="AA98" s="99"/>
      <c r="AB98" s="99"/>
      <c r="AC98" s="95"/>
      <c r="AD98" s="95"/>
      <c r="AE98" s="95"/>
      <c r="AF98" s="95"/>
      <c r="AG98" s="95"/>
      <c r="AH98" s="95"/>
      <c r="AI98" s="100"/>
    </row>
    <row r="99" spans="2:37" ht="24.95" customHeight="1">
      <c r="B99" s="73" t="s">
        <v>97</v>
      </c>
      <c r="C99" s="74"/>
      <c r="D99" s="74"/>
      <c r="E99" s="74"/>
      <c r="F99" s="74"/>
      <c r="G99" s="73">
        <v>1415</v>
      </c>
      <c r="H99" s="74"/>
      <c r="I99" s="74"/>
      <c r="J99" s="74"/>
      <c r="K99" s="17">
        <v>21</v>
      </c>
      <c r="L99" s="18">
        <f>K99-M99</f>
        <v>21</v>
      </c>
      <c r="M99" s="75">
        <f>S99+T99+Z99+AA99+AC99</f>
        <v>0</v>
      </c>
      <c r="N99" s="76"/>
      <c r="O99" s="19"/>
      <c r="P99" s="75"/>
      <c r="Q99" s="83"/>
      <c r="R99" s="17"/>
      <c r="S99" s="17"/>
      <c r="T99" s="77"/>
      <c r="U99" s="83"/>
      <c r="V99" s="84"/>
      <c r="W99" s="19"/>
      <c r="X99" s="19"/>
      <c r="Y99" s="19"/>
      <c r="Z99" s="19"/>
      <c r="AA99" s="77"/>
      <c r="AB99" s="84"/>
      <c r="AC99" s="19"/>
      <c r="AD99" s="89">
        <f>K99-M99</f>
        <v>21</v>
      </c>
      <c r="AE99" s="91"/>
      <c r="AF99" s="20"/>
      <c r="AG99" s="20"/>
      <c r="AH99" s="78"/>
      <c r="AI99" s="79"/>
      <c r="AK99" s="1">
        <v>1</v>
      </c>
    </row>
    <row r="100" spans="2:37" ht="24.95" customHeight="1">
      <c r="B100" s="73" t="s">
        <v>98</v>
      </c>
      <c r="C100" s="74"/>
      <c r="D100" s="74"/>
      <c r="E100" s="74"/>
      <c r="F100" s="74"/>
      <c r="G100" s="73">
        <v>1416</v>
      </c>
      <c r="H100" s="74"/>
      <c r="I100" s="74"/>
      <c r="J100" s="74"/>
      <c r="K100" s="17">
        <v>21</v>
      </c>
      <c r="L100" s="18">
        <f>K100-M100</f>
        <v>21</v>
      </c>
      <c r="M100" s="75">
        <f>S100+T100+Z100+AA100+AC100</f>
        <v>0</v>
      </c>
      <c r="N100" s="76"/>
      <c r="O100" s="19"/>
      <c r="P100" s="75"/>
      <c r="Q100" s="83"/>
      <c r="R100" s="17"/>
      <c r="S100" s="17"/>
      <c r="T100" s="77"/>
      <c r="U100" s="83"/>
      <c r="V100" s="84"/>
      <c r="W100" s="19"/>
      <c r="X100" s="19"/>
      <c r="Y100" s="19"/>
      <c r="Z100" s="19"/>
      <c r="AA100" s="77"/>
      <c r="AB100" s="84"/>
      <c r="AC100" s="19"/>
      <c r="AD100" s="89">
        <f>K100-M100</f>
        <v>21</v>
      </c>
      <c r="AE100" s="91"/>
      <c r="AF100" s="20"/>
      <c r="AG100" s="20"/>
      <c r="AH100" s="78"/>
      <c r="AI100" s="79"/>
      <c r="AK100" s="1">
        <v>1</v>
      </c>
    </row>
    <row r="101" spans="2:37" ht="24.95" customHeight="1">
      <c r="B101" s="73" t="s">
        <v>99</v>
      </c>
      <c r="C101" s="74"/>
      <c r="D101" s="74"/>
      <c r="E101" s="74"/>
      <c r="F101" s="74"/>
      <c r="G101" s="73">
        <v>1425</v>
      </c>
      <c r="H101" s="74"/>
      <c r="I101" s="74"/>
      <c r="J101" s="74"/>
      <c r="K101" s="17">
        <v>21</v>
      </c>
      <c r="L101" s="18">
        <f>K101-M101</f>
        <v>21</v>
      </c>
      <c r="M101" s="75">
        <f>S101+T101+Z101+AA101+AC101</f>
        <v>0</v>
      </c>
      <c r="N101" s="76"/>
      <c r="O101" s="19"/>
      <c r="P101" s="75"/>
      <c r="Q101" s="83"/>
      <c r="R101" s="17"/>
      <c r="S101" s="17"/>
      <c r="T101" s="77"/>
      <c r="U101" s="83"/>
      <c r="V101" s="84"/>
      <c r="W101" s="19"/>
      <c r="X101" s="19"/>
      <c r="Y101" s="19"/>
      <c r="Z101" s="19"/>
      <c r="AA101" s="77"/>
      <c r="AB101" s="84"/>
      <c r="AC101" s="19"/>
      <c r="AD101" s="89">
        <f>K101-M101</f>
        <v>21</v>
      </c>
      <c r="AE101" s="91"/>
      <c r="AF101" s="20"/>
      <c r="AG101" s="20"/>
      <c r="AH101" s="78"/>
      <c r="AI101" s="79"/>
      <c r="AK101" s="1">
        <v>1</v>
      </c>
    </row>
    <row r="102" spans="2:37" ht="16.35" customHeight="1">
      <c r="B102" s="73" t="s">
        <v>100</v>
      </c>
      <c r="C102" s="74"/>
      <c r="D102" s="74"/>
      <c r="E102" s="74"/>
      <c r="F102" s="74"/>
      <c r="G102" s="73">
        <v>1433</v>
      </c>
      <c r="H102" s="74"/>
      <c r="I102" s="74"/>
      <c r="J102" s="74"/>
      <c r="K102" s="17">
        <v>21</v>
      </c>
      <c r="L102" s="18">
        <f>K102-M102</f>
        <v>21</v>
      </c>
      <c r="M102" s="75">
        <f>S102+T102+Z102+AA102+AC102</f>
        <v>0</v>
      </c>
      <c r="N102" s="76"/>
      <c r="O102" s="19"/>
      <c r="P102" s="75"/>
      <c r="Q102" s="83"/>
      <c r="R102" s="17"/>
      <c r="S102" s="17"/>
      <c r="T102" s="77"/>
      <c r="U102" s="83"/>
      <c r="V102" s="84"/>
      <c r="W102" s="19"/>
      <c r="X102" s="19"/>
      <c r="Y102" s="19"/>
      <c r="Z102" s="19"/>
      <c r="AA102" s="77"/>
      <c r="AB102" s="84"/>
      <c r="AC102" s="19"/>
      <c r="AD102" s="89">
        <f>K102-M102</f>
        <v>21</v>
      </c>
      <c r="AE102" s="91"/>
      <c r="AF102" s="20"/>
      <c r="AG102" s="20"/>
      <c r="AH102" s="78"/>
      <c r="AI102" s="79"/>
      <c r="AK102" s="1">
        <v>1</v>
      </c>
    </row>
    <row r="103" spans="2:37" ht="16.35" customHeight="1">
      <c r="B103" s="73" t="s">
        <v>101</v>
      </c>
      <c r="C103" s="74"/>
      <c r="D103" s="74"/>
      <c r="E103" s="74"/>
      <c r="F103" s="74"/>
      <c r="G103" s="73">
        <v>1436</v>
      </c>
      <c r="H103" s="74"/>
      <c r="I103" s="74"/>
      <c r="J103" s="74"/>
      <c r="K103" s="17">
        <v>21</v>
      </c>
      <c r="L103" s="18">
        <f>K103-M103</f>
        <v>21</v>
      </c>
      <c r="M103" s="75">
        <f>S103+T103+Z103+AA103+AC103</f>
        <v>0</v>
      </c>
      <c r="N103" s="76"/>
      <c r="O103" s="19"/>
      <c r="P103" s="75"/>
      <c r="Q103" s="83"/>
      <c r="R103" s="17"/>
      <c r="S103" s="17"/>
      <c r="T103" s="77"/>
      <c r="U103" s="83"/>
      <c r="V103" s="84"/>
      <c r="W103" s="19"/>
      <c r="X103" s="19"/>
      <c r="Y103" s="19"/>
      <c r="Z103" s="19"/>
      <c r="AA103" s="77"/>
      <c r="AB103" s="84"/>
      <c r="AC103" s="19"/>
      <c r="AD103" s="89">
        <f>K103-M103</f>
        <v>21</v>
      </c>
      <c r="AE103" s="91"/>
      <c r="AF103" s="20"/>
      <c r="AG103" s="20"/>
      <c r="AH103" s="78"/>
      <c r="AI103" s="79"/>
      <c r="AK103" s="1">
        <v>1</v>
      </c>
    </row>
    <row r="104" spans="2:37" ht="24.95" customHeight="1">
      <c r="B104" s="73" t="s">
        <v>102</v>
      </c>
      <c r="C104" s="74"/>
      <c r="D104" s="74"/>
      <c r="E104" s="74"/>
      <c r="F104" s="74"/>
      <c r="G104" s="73">
        <v>1439</v>
      </c>
      <c r="H104" s="74"/>
      <c r="I104" s="74"/>
      <c r="J104" s="74"/>
      <c r="K104" s="17">
        <v>21</v>
      </c>
      <c r="L104" s="18">
        <f>K104-M104</f>
        <v>21</v>
      </c>
      <c r="M104" s="75">
        <f>S104+T104+Z104+AA104+AC104</f>
        <v>0</v>
      </c>
      <c r="N104" s="76"/>
      <c r="O104" s="19"/>
      <c r="P104" s="75"/>
      <c r="Q104" s="83"/>
      <c r="R104" s="17"/>
      <c r="S104" s="17"/>
      <c r="T104" s="77"/>
      <c r="U104" s="83"/>
      <c r="V104" s="84"/>
      <c r="W104" s="19"/>
      <c r="X104" s="19"/>
      <c r="Y104" s="19"/>
      <c r="Z104" s="19"/>
      <c r="AA104" s="77"/>
      <c r="AB104" s="84"/>
      <c r="AC104" s="19"/>
      <c r="AD104" s="89">
        <f>K104-M104</f>
        <v>21</v>
      </c>
      <c r="AE104" s="91"/>
      <c r="AF104" s="20"/>
      <c r="AG104" s="20"/>
      <c r="AH104" s="78"/>
      <c r="AI104" s="79"/>
      <c r="AK104" s="1">
        <v>1</v>
      </c>
    </row>
    <row r="105" spans="2:37" ht="16.35" customHeight="1">
      <c r="B105" s="80" t="s">
        <v>103</v>
      </c>
      <c r="C105" s="81"/>
      <c r="D105" s="81"/>
      <c r="E105" s="81"/>
      <c r="F105" s="81"/>
      <c r="G105" s="81"/>
      <c r="H105" s="81"/>
      <c r="I105" s="81"/>
      <c r="J105" s="82"/>
      <c r="K105" s="17">
        <f>SUM(K99:K104)</f>
        <v>126</v>
      </c>
      <c r="L105" s="18">
        <f>SUM(L99:L104)</f>
        <v>126</v>
      </c>
      <c r="M105" s="75"/>
      <c r="N105" s="83"/>
      <c r="O105" s="19"/>
      <c r="P105" s="75"/>
      <c r="Q105" s="83"/>
      <c r="R105" s="17"/>
      <c r="S105" s="17"/>
      <c r="T105" s="77"/>
      <c r="U105" s="83"/>
      <c r="V105" s="84"/>
      <c r="W105" s="19"/>
      <c r="X105" s="19"/>
      <c r="Y105" s="19"/>
      <c r="Z105" s="19"/>
      <c r="AA105" s="77"/>
      <c r="AB105" s="84"/>
      <c r="AC105" s="19"/>
      <c r="AD105" s="77">
        <f>SUM(AD99:AE104)</f>
        <v>126</v>
      </c>
      <c r="AE105" s="84"/>
      <c r="AF105" s="20"/>
      <c r="AG105" s="20"/>
      <c r="AH105" s="78"/>
      <c r="AI105" s="79"/>
    </row>
    <row r="106" spans="1:37" ht="16.35" customHeight="1">
      <c r="B106" s="94" t="s">
        <v>23</v>
      </c>
      <c r="C106" s="95"/>
      <c r="D106" s="95"/>
      <c r="E106" s="95"/>
      <c r="F106" s="95"/>
      <c r="G106" s="95"/>
      <c r="H106" s="95"/>
      <c r="I106" s="95"/>
      <c r="J106" s="95"/>
      <c r="K106" s="95"/>
      <c r="L106" s="96"/>
      <c r="M106" s="95"/>
      <c r="N106" s="95"/>
      <c r="O106" s="95"/>
      <c r="P106" s="95"/>
      <c r="Q106" s="95"/>
      <c r="R106" s="95"/>
      <c r="S106" s="95"/>
      <c r="T106" s="97"/>
      <c r="U106" s="97"/>
      <c r="V106" s="97"/>
      <c r="W106" s="95"/>
      <c r="X106" s="95"/>
      <c r="Y106" s="95"/>
      <c r="Z106" s="98"/>
      <c r="AA106" s="99"/>
      <c r="AB106" s="99"/>
      <c r="AC106" s="95"/>
      <c r="AD106" s="95"/>
      <c r="AE106" s="95"/>
      <c r="AF106" s="95"/>
      <c r="AG106" s="95"/>
      <c r="AH106" s="95"/>
      <c r="AI106" s="100"/>
    </row>
    <row r="107" spans="2:37" ht="16.35" customHeight="1">
      <c r="B107" s="73" t="s">
        <v>104</v>
      </c>
      <c r="C107" s="74"/>
      <c r="D107" s="74"/>
      <c r="E107" s="74"/>
      <c r="F107" s="74"/>
      <c r="G107" s="73">
        <v>1491</v>
      </c>
      <c r="H107" s="74"/>
      <c r="I107" s="74"/>
      <c r="J107" s="74"/>
      <c r="K107" s="17">
        <v>21</v>
      </c>
      <c r="L107" s="18">
        <f>K107-M107</f>
        <v>21</v>
      </c>
      <c r="M107" s="75">
        <f>S107+T107+Z107+AA107+AC107</f>
        <v>0</v>
      </c>
      <c r="N107" s="76"/>
      <c r="O107" s="19"/>
      <c r="P107" s="75"/>
      <c r="Q107" s="83"/>
      <c r="R107" s="17"/>
      <c r="S107" s="17"/>
      <c r="T107" s="77"/>
      <c r="U107" s="83"/>
      <c r="V107" s="84"/>
      <c r="W107" s="19"/>
      <c r="X107" s="19"/>
      <c r="Y107" s="19"/>
      <c r="Z107" s="19"/>
      <c r="AA107" s="77"/>
      <c r="AB107" s="84"/>
      <c r="AC107" s="19"/>
      <c r="AD107" s="89">
        <f>K107-M107</f>
        <v>21</v>
      </c>
      <c r="AE107" s="91"/>
      <c r="AF107" s="20"/>
      <c r="AG107" s="20"/>
      <c r="AH107" s="78"/>
      <c r="AI107" s="79"/>
      <c r="AK107" s="1">
        <v>1</v>
      </c>
    </row>
    <row r="108" spans="2:37" ht="16.35" customHeight="1">
      <c r="B108" s="80" t="s">
        <v>64</v>
      </c>
      <c r="C108" s="81"/>
      <c r="D108" s="81"/>
      <c r="E108" s="81"/>
      <c r="F108" s="81"/>
      <c r="G108" s="81"/>
      <c r="H108" s="81"/>
      <c r="I108" s="81"/>
      <c r="J108" s="82"/>
      <c r="K108" s="17">
        <f>SUM(K107:K107)</f>
        <v>21</v>
      </c>
      <c r="L108" s="18">
        <f>SUM(L107:L107)</f>
        <v>21</v>
      </c>
      <c r="M108" s="75"/>
      <c r="N108" s="83"/>
      <c r="O108" s="19"/>
      <c r="P108" s="75"/>
      <c r="Q108" s="83"/>
      <c r="R108" s="17"/>
      <c r="S108" s="17"/>
      <c r="T108" s="77"/>
      <c r="U108" s="83"/>
      <c r="V108" s="84"/>
      <c r="W108" s="19"/>
      <c r="X108" s="19"/>
      <c r="Y108" s="19"/>
      <c r="Z108" s="19"/>
      <c r="AA108" s="77"/>
      <c r="AB108" s="84"/>
      <c r="AC108" s="19"/>
      <c r="AD108" s="77">
        <f>SUM(AD107:AE107)</f>
        <v>21</v>
      </c>
      <c r="AE108" s="84"/>
      <c r="AF108" s="20"/>
      <c r="AG108" s="20"/>
      <c r="AH108" s="78"/>
      <c r="AI108" s="79"/>
    </row>
    <row r="109" spans="1:37" ht="16.35" customHeight="1">
      <c r="B109" s="94" t="s">
        <v>32</v>
      </c>
      <c r="C109" s="95"/>
      <c r="D109" s="95"/>
      <c r="E109" s="95"/>
      <c r="F109" s="95"/>
      <c r="G109" s="95"/>
      <c r="H109" s="95"/>
      <c r="I109" s="95"/>
      <c r="J109" s="95"/>
      <c r="K109" s="95"/>
      <c r="L109" s="96"/>
      <c r="M109" s="95"/>
      <c r="N109" s="95"/>
      <c r="O109" s="95"/>
      <c r="P109" s="95"/>
      <c r="Q109" s="95"/>
      <c r="R109" s="95"/>
      <c r="S109" s="95"/>
      <c r="T109" s="97"/>
      <c r="U109" s="97"/>
      <c r="V109" s="97"/>
      <c r="W109" s="95"/>
      <c r="X109" s="95"/>
      <c r="Y109" s="95"/>
      <c r="Z109" s="98"/>
      <c r="AA109" s="99"/>
      <c r="AB109" s="99"/>
      <c r="AC109" s="95"/>
      <c r="AD109" s="95"/>
      <c r="AE109" s="95"/>
      <c r="AF109" s="95"/>
      <c r="AG109" s="95"/>
      <c r="AH109" s="95"/>
      <c r="AI109" s="100"/>
    </row>
    <row r="110" spans="2:37" ht="24.95" customHeight="1">
      <c r="B110" s="73" t="s">
        <v>105</v>
      </c>
      <c r="C110" s="74"/>
      <c r="D110" s="74"/>
      <c r="E110" s="74"/>
      <c r="F110" s="74"/>
      <c r="G110" s="73">
        <v>1569</v>
      </c>
      <c r="H110" s="74"/>
      <c r="I110" s="74"/>
      <c r="J110" s="74"/>
      <c r="K110" s="17">
        <v>21</v>
      </c>
      <c r="L110" s="18">
        <f>K110-M110</f>
        <v>21</v>
      </c>
      <c r="M110" s="75">
        <f>S110+T110+Z110+AA110+AC110</f>
        <v>0</v>
      </c>
      <c r="N110" s="76"/>
      <c r="O110" s="19"/>
      <c r="P110" s="75"/>
      <c r="Q110" s="83"/>
      <c r="R110" s="17"/>
      <c r="S110" s="17"/>
      <c r="T110" s="77"/>
      <c r="U110" s="83"/>
      <c r="V110" s="84"/>
      <c r="W110" s="19"/>
      <c r="X110" s="19"/>
      <c r="Y110" s="19"/>
      <c r="Z110" s="19"/>
      <c r="AA110" s="77"/>
      <c r="AB110" s="84"/>
      <c r="AC110" s="19"/>
      <c r="AD110" s="89">
        <f>K110-M110</f>
        <v>21</v>
      </c>
      <c r="AE110" s="91"/>
      <c r="AF110" s="20"/>
      <c r="AG110" s="20"/>
      <c r="AH110" s="78"/>
      <c r="AI110" s="79"/>
      <c r="AK110" s="1">
        <v>1</v>
      </c>
    </row>
    <row r="111" spans="2:37" ht="24.95" customHeight="1">
      <c r="B111" s="73" t="s">
        <v>106</v>
      </c>
      <c r="C111" s="74"/>
      <c r="D111" s="74"/>
      <c r="E111" s="74"/>
      <c r="F111" s="74"/>
      <c r="G111" s="73">
        <v>1571</v>
      </c>
      <c r="H111" s="74"/>
      <c r="I111" s="74"/>
      <c r="J111" s="74"/>
      <c r="K111" s="17">
        <v>21</v>
      </c>
      <c r="L111" s="18">
        <f>K111-M111</f>
        <v>21</v>
      </c>
      <c r="M111" s="75">
        <f>S111+T111+Z111+AA111+AC111</f>
        <v>0</v>
      </c>
      <c r="N111" s="76"/>
      <c r="O111" s="19"/>
      <c r="P111" s="75"/>
      <c r="Q111" s="83"/>
      <c r="R111" s="17"/>
      <c r="S111" s="17"/>
      <c r="T111" s="77"/>
      <c r="U111" s="83"/>
      <c r="V111" s="84"/>
      <c r="W111" s="19"/>
      <c r="X111" s="19"/>
      <c r="Y111" s="19"/>
      <c r="Z111" s="19"/>
      <c r="AA111" s="77"/>
      <c r="AB111" s="84"/>
      <c r="AC111" s="19"/>
      <c r="AD111" s="89">
        <f>K111-M111</f>
        <v>21</v>
      </c>
      <c r="AE111" s="91"/>
      <c r="AF111" s="20"/>
      <c r="AG111" s="20"/>
      <c r="AH111" s="78"/>
      <c r="AI111" s="79"/>
      <c r="AK111" s="1">
        <v>1</v>
      </c>
    </row>
    <row r="112" spans="2:37" ht="16.35" customHeight="1">
      <c r="B112" s="73" t="s">
        <v>107</v>
      </c>
      <c r="C112" s="74"/>
      <c r="D112" s="74"/>
      <c r="E112" s="74"/>
      <c r="F112" s="74"/>
      <c r="G112" s="73">
        <v>1572</v>
      </c>
      <c r="H112" s="74"/>
      <c r="I112" s="74"/>
      <c r="J112" s="74"/>
      <c r="K112" s="17">
        <v>21</v>
      </c>
      <c r="L112" s="18">
        <f>K112-M112</f>
        <v>21</v>
      </c>
      <c r="M112" s="75">
        <f>S112+T112+Z112+AA112+AC112</f>
        <v>0</v>
      </c>
      <c r="N112" s="76"/>
      <c r="O112" s="19"/>
      <c r="P112" s="75"/>
      <c r="Q112" s="83"/>
      <c r="R112" s="17"/>
      <c r="S112" s="17"/>
      <c r="T112" s="77"/>
      <c r="U112" s="83"/>
      <c r="V112" s="84"/>
      <c r="W112" s="19"/>
      <c r="X112" s="19"/>
      <c r="Y112" s="19"/>
      <c r="Z112" s="19"/>
      <c r="AA112" s="77"/>
      <c r="AB112" s="84"/>
      <c r="AC112" s="19"/>
      <c r="AD112" s="89">
        <f>K112-M112</f>
        <v>21</v>
      </c>
      <c r="AE112" s="91"/>
      <c r="AF112" s="20"/>
      <c r="AG112" s="20"/>
      <c r="AH112" s="78"/>
      <c r="AI112" s="79"/>
      <c r="AK112" s="1">
        <v>1</v>
      </c>
    </row>
    <row r="113" spans="2:37" ht="24.95" customHeight="1">
      <c r="B113" s="73" t="s">
        <v>108</v>
      </c>
      <c r="C113" s="74"/>
      <c r="D113" s="74"/>
      <c r="E113" s="74"/>
      <c r="F113" s="74"/>
      <c r="G113" s="73">
        <v>1583</v>
      </c>
      <c r="H113" s="74"/>
      <c r="I113" s="74"/>
      <c r="J113" s="74"/>
      <c r="K113" s="17">
        <v>21</v>
      </c>
      <c r="L113" s="18">
        <f>K113-M113</f>
        <v>21</v>
      </c>
      <c r="M113" s="75">
        <f>S113+T113+Z113+AA113+AC113</f>
        <v>0</v>
      </c>
      <c r="N113" s="76"/>
      <c r="O113" s="19"/>
      <c r="P113" s="75"/>
      <c r="Q113" s="83"/>
      <c r="R113" s="17"/>
      <c r="S113" s="17"/>
      <c r="T113" s="77"/>
      <c r="U113" s="83"/>
      <c r="V113" s="84"/>
      <c r="W113" s="19"/>
      <c r="X113" s="19"/>
      <c r="Y113" s="19"/>
      <c r="Z113" s="19"/>
      <c r="AA113" s="77"/>
      <c r="AB113" s="84"/>
      <c r="AC113" s="19"/>
      <c r="AD113" s="89">
        <f>K113-M113</f>
        <v>21</v>
      </c>
      <c r="AE113" s="91"/>
      <c r="AF113" s="20"/>
      <c r="AG113" s="20"/>
      <c r="AH113" s="78"/>
      <c r="AI113" s="79"/>
      <c r="AK113" s="1">
        <v>1</v>
      </c>
    </row>
    <row r="114" spans="2:37" ht="16.35" customHeight="1">
      <c r="B114" s="73" t="s">
        <v>109</v>
      </c>
      <c r="C114" s="74"/>
      <c r="D114" s="74"/>
      <c r="E114" s="74"/>
      <c r="F114" s="74"/>
      <c r="G114" s="73">
        <v>1584</v>
      </c>
      <c r="H114" s="74"/>
      <c r="I114" s="74"/>
      <c r="J114" s="74"/>
      <c r="K114" s="17">
        <v>21</v>
      </c>
      <c r="L114" s="18">
        <f>K114-M114</f>
        <v>21</v>
      </c>
      <c r="M114" s="75">
        <f>S114+T114+Z114+AA114+AC114</f>
        <v>0</v>
      </c>
      <c r="N114" s="76"/>
      <c r="O114" s="19"/>
      <c r="P114" s="75"/>
      <c r="Q114" s="83"/>
      <c r="R114" s="17"/>
      <c r="S114" s="17"/>
      <c r="T114" s="77"/>
      <c r="U114" s="83"/>
      <c r="V114" s="84"/>
      <c r="W114" s="19"/>
      <c r="X114" s="19"/>
      <c r="Y114" s="19"/>
      <c r="Z114" s="19"/>
      <c r="AA114" s="77"/>
      <c r="AB114" s="84"/>
      <c r="AC114" s="19"/>
      <c r="AD114" s="89">
        <f>K114-M114</f>
        <v>21</v>
      </c>
      <c r="AE114" s="91"/>
      <c r="AF114" s="20"/>
      <c r="AG114" s="20"/>
      <c r="AH114" s="78"/>
      <c r="AI114" s="79"/>
      <c r="AK114" s="1">
        <v>1</v>
      </c>
    </row>
    <row r="115" spans="2:37" ht="24.95" customHeight="1">
      <c r="B115" s="73" t="s">
        <v>110</v>
      </c>
      <c r="C115" s="74"/>
      <c r="D115" s="74"/>
      <c r="E115" s="74"/>
      <c r="F115" s="74"/>
      <c r="G115" s="73">
        <v>1593</v>
      </c>
      <c r="H115" s="74"/>
      <c r="I115" s="74"/>
      <c r="J115" s="74"/>
      <c r="K115" s="17">
        <v>21</v>
      </c>
      <c r="L115" s="18">
        <f>K115-M115</f>
        <v>21</v>
      </c>
      <c r="M115" s="75">
        <f>S115+T115+Z115+AA115+AC115</f>
        <v>0</v>
      </c>
      <c r="N115" s="76"/>
      <c r="O115" s="19"/>
      <c r="P115" s="75"/>
      <c r="Q115" s="83"/>
      <c r="R115" s="17"/>
      <c r="S115" s="17"/>
      <c r="T115" s="77"/>
      <c r="U115" s="83"/>
      <c r="V115" s="84"/>
      <c r="W115" s="19"/>
      <c r="X115" s="19"/>
      <c r="Y115" s="19"/>
      <c r="Z115" s="19"/>
      <c r="AA115" s="77"/>
      <c r="AB115" s="84"/>
      <c r="AC115" s="19"/>
      <c r="AD115" s="89">
        <f>K115-M115</f>
        <v>21</v>
      </c>
      <c r="AE115" s="91"/>
      <c r="AF115" s="20"/>
      <c r="AG115" s="20"/>
      <c r="AH115" s="78"/>
      <c r="AI115" s="79"/>
      <c r="AK115" s="1">
        <v>1</v>
      </c>
    </row>
    <row r="116" spans="2:37" ht="16.35" customHeight="1">
      <c r="B116" s="73" t="s">
        <v>111</v>
      </c>
      <c r="C116" s="74"/>
      <c r="D116" s="74"/>
      <c r="E116" s="74"/>
      <c r="F116" s="74"/>
      <c r="G116" s="73">
        <v>1596</v>
      </c>
      <c r="H116" s="74"/>
      <c r="I116" s="74"/>
      <c r="J116" s="74"/>
      <c r="K116" s="17">
        <v>21</v>
      </c>
      <c r="L116" s="18">
        <f>K116-M116</f>
        <v>21</v>
      </c>
      <c r="M116" s="75">
        <f>S116+T116+Z116+AA116+AC116</f>
        <v>0</v>
      </c>
      <c r="N116" s="76"/>
      <c r="O116" s="19"/>
      <c r="P116" s="75"/>
      <c r="Q116" s="83"/>
      <c r="R116" s="17"/>
      <c r="S116" s="17"/>
      <c r="T116" s="77"/>
      <c r="U116" s="83"/>
      <c r="V116" s="84"/>
      <c r="W116" s="19"/>
      <c r="X116" s="19"/>
      <c r="Y116" s="19"/>
      <c r="Z116" s="19"/>
      <c r="AA116" s="77"/>
      <c r="AB116" s="84"/>
      <c r="AC116" s="19"/>
      <c r="AD116" s="89">
        <f>K116-M116</f>
        <v>21</v>
      </c>
      <c r="AE116" s="91"/>
      <c r="AF116" s="20"/>
      <c r="AG116" s="20"/>
      <c r="AH116" s="78"/>
      <c r="AI116" s="79"/>
      <c r="AK116" s="1">
        <v>1</v>
      </c>
    </row>
    <row r="117" spans="2:37" ht="24.95" customHeight="1">
      <c r="B117" s="73" t="s">
        <v>112</v>
      </c>
      <c r="C117" s="74"/>
      <c r="D117" s="74"/>
      <c r="E117" s="74"/>
      <c r="F117" s="74"/>
      <c r="G117" s="73">
        <v>1596</v>
      </c>
      <c r="H117" s="74"/>
      <c r="I117" s="74"/>
      <c r="J117" s="74"/>
      <c r="K117" s="17">
        <v>21</v>
      </c>
      <c r="L117" s="18">
        <f>K117-M117</f>
        <v>21</v>
      </c>
      <c r="M117" s="75">
        <f>S117+T117+Z117+AA117+AC117</f>
        <v>0</v>
      </c>
      <c r="N117" s="76"/>
      <c r="O117" s="19"/>
      <c r="P117" s="75"/>
      <c r="Q117" s="83"/>
      <c r="R117" s="17"/>
      <c r="S117" s="17"/>
      <c r="T117" s="77"/>
      <c r="U117" s="83"/>
      <c r="V117" s="84"/>
      <c r="W117" s="19"/>
      <c r="X117" s="19"/>
      <c r="Y117" s="19"/>
      <c r="Z117" s="19"/>
      <c r="AA117" s="77"/>
      <c r="AB117" s="84"/>
      <c r="AC117" s="19"/>
      <c r="AD117" s="89">
        <f>K117-M117</f>
        <v>21</v>
      </c>
      <c r="AE117" s="91"/>
      <c r="AF117" s="20"/>
      <c r="AG117" s="20"/>
      <c r="AH117" s="78"/>
      <c r="AI117" s="79"/>
      <c r="AK117" s="1">
        <v>1</v>
      </c>
    </row>
    <row r="118" spans="2:37" ht="24.95" customHeight="1">
      <c r="B118" s="73" t="s">
        <v>113</v>
      </c>
      <c r="C118" s="74"/>
      <c r="D118" s="74"/>
      <c r="E118" s="74"/>
      <c r="F118" s="74"/>
      <c r="G118" s="73">
        <v>1600</v>
      </c>
      <c r="H118" s="74"/>
      <c r="I118" s="74"/>
      <c r="J118" s="74"/>
      <c r="K118" s="17">
        <v>21</v>
      </c>
      <c r="L118" s="18">
        <f>K118-M118</f>
        <v>21</v>
      </c>
      <c r="M118" s="75">
        <f>S118+T118+Z118+AA118+AC118</f>
        <v>0</v>
      </c>
      <c r="N118" s="76"/>
      <c r="O118" s="19"/>
      <c r="P118" s="75"/>
      <c r="Q118" s="83"/>
      <c r="R118" s="17"/>
      <c r="S118" s="17"/>
      <c r="T118" s="77"/>
      <c r="U118" s="83"/>
      <c r="V118" s="84"/>
      <c r="W118" s="19"/>
      <c r="X118" s="19"/>
      <c r="Y118" s="19"/>
      <c r="Z118" s="19"/>
      <c r="AA118" s="77"/>
      <c r="AB118" s="84"/>
      <c r="AC118" s="19"/>
      <c r="AD118" s="89">
        <f>K118-M118</f>
        <v>21</v>
      </c>
      <c r="AE118" s="91"/>
      <c r="AF118" s="20"/>
      <c r="AG118" s="20"/>
      <c r="AH118" s="78"/>
      <c r="AI118" s="79"/>
      <c r="AK118" s="1">
        <v>1</v>
      </c>
    </row>
    <row r="119" spans="2:37" ht="16.35" customHeight="1">
      <c r="B119" s="80" t="s">
        <v>85</v>
      </c>
      <c r="C119" s="81"/>
      <c r="D119" s="81"/>
      <c r="E119" s="81"/>
      <c r="F119" s="81"/>
      <c r="G119" s="81"/>
      <c r="H119" s="81"/>
      <c r="I119" s="81"/>
      <c r="J119" s="82"/>
      <c r="K119" s="17">
        <f>SUM(K110:K118)</f>
        <v>189</v>
      </c>
      <c r="L119" s="18">
        <f>SUM(L110:L118)</f>
        <v>189</v>
      </c>
      <c r="M119" s="75"/>
      <c r="N119" s="83"/>
      <c r="O119" s="19"/>
      <c r="P119" s="75"/>
      <c r="Q119" s="83"/>
      <c r="R119" s="17"/>
      <c r="S119" s="17"/>
      <c r="T119" s="77"/>
      <c r="U119" s="83"/>
      <c r="V119" s="84"/>
      <c r="W119" s="19"/>
      <c r="X119" s="19"/>
      <c r="Y119" s="19"/>
      <c r="Z119" s="19"/>
      <c r="AA119" s="77"/>
      <c r="AB119" s="84"/>
      <c r="AC119" s="19"/>
      <c r="AD119" s="77">
        <f>SUM(AD110:AE118)</f>
        <v>189</v>
      </c>
      <c r="AE119" s="84"/>
      <c r="AF119" s="20"/>
      <c r="AG119" s="20"/>
      <c r="AH119" s="78"/>
      <c r="AI119" s="79"/>
    </row>
    <row r="120" spans="1:37" ht="16.35" customHeight="1">
      <c r="B120" s="94" t="s">
        <v>23</v>
      </c>
      <c r="C120" s="95"/>
      <c r="D120" s="95"/>
      <c r="E120" s="95"/>
      <c r="F120" s="95"/>
      <c r="G120" s="95"/>
      <c r="H120" s="95"/>
      <c r="I120" s="95"/>
      <c r="J120" s="95"/>
      <c r="K120" s="95"/>
      <c r="L120" s="96"/>
      <c r="M120" s="95"/>
      <c r="N120" s="95"/>
      <c r="O120" s="95"/>
      <c r="P120" s="95"/>
      <c r="Q120" s="95"/>
      <c r="R120" s="95"/>
      <c r="S120" s="95"/>
      <c r="T120" s="97"/>
      <c r="U120" s="97"/>
      <c r="V120" s="97"/>
      <c r="W120" s="95"/>
      <c r="X120" s="95"/>
      <c r="Y120" s="95"/>
      <c r="Z120" s="98"/>
      <c r="AA120" s="99"/>
      <c r="AB120" s="99"/>
      <c r="AC120" s="95"/>
      <c r="AD120" s="95"/>
      <c r="AE120" s="95"/>
      <c r="AF120" s="95"/>
      <c r="AG120" s="95"/>
      <c r="AH120" s="95"/>
      <c r="AI120" s="100"/>
    </row>
    <row r="121" spans="2:37" ht="24.95" customHeight="1">
      <c r="B121" s="73" t="s">
        <v>114</v>
      </c>
      <c r="C121" s="74"/>
      <c r="D121" s="74"/>
      <c r="E121" s="74"/>
      <c r="F121" s="74"/>
      <c r="G121" s="73">
        <v>1605</v>
      </c>
      <c r="H121" s="74"/>
      <c r="I121" s="74"/>
      <c r="J121" s="74"/>
      <c r="K121" s="17">
        <v>21</v>
      </c>
      <c r="L121" s="18">
        <f>K121-M121</f>
        <v>21</v>
      </c>
      <c r="M121" s="75">
        <f>S121+T121+Z121+AA121+AC121</f>
        <v>0</v>
      </c>
      <c r="N121" s="76"/>
      <c r="O121" s="19"/>
      <c r="P121" s="75"/>
      <c r="Q121" s="83"/>
      <c r="R121" s="17"/>
      <c r="S121" s="17"/>
      <c r="T121" s="77"/>
      <c r="U121" s="83"/>
      <c r="V121" s="84"/>
      <c r="W121" s="19"/>
      <c r="X121" s="19"/>
      <c r="Y121" s="19"/>
      <c r="Z121" s="19"/>
      <c r="AA121" s="77"/>
      <c r="AB121" s="84"/>
      <c r="AC121" s="19"/>
      <c r="AD121" s="89">
        <f>K121-M121</f>
        <v>21</v>
      </c>
      <c r="AE121" s="91"/>
      <c r="AF121" s="20"/>
      <c r="AG121" s="20"/>
      <c r="AH121" s="78"/>
      <c r="AI121" s="79"/>
      <c r="AK121" s="1">
        <v>1</v>
      </c>
    </row>
    <row r="122" spans="2:37" ht="16.35" customHeight="1">
      <c r="B122" s="80" t="s">
        <v>64</v>
      </c>
      <c r="C122" s="81"/>
      <c r="D122" s="81"/>
      <c r="E122" s="81"/>
      <c r="F122" s="81"/>
      <c r="G122" s="81"/>
      <c r="H122" s="81"/>
      <c r="I122" s="81"/>
      <c r="J122" s="82"/>
      <c r="K122" s="17">
        <f>SUM(K121:K121)</f>
        <v>21</v>
      </c>
      <c r="L122" s="18">
        <f>SUM(L121:L121)</f>
        <v>21</v>
      </c>
      <c r="M122" s="75"/>
      <c r="N122" s="83"/>
      <c r="O122" s="19"/>
      <c r="P122" s="75"/>
      <c r="Q122" s="83"/>
      <c r="R122" s="17"/>
      <c r="S122" s="17"/>
      <c r="T122" s="77"/>
      <c r="U122" s="83"/>
      <c r="V122" s="84"/>
      <c r="W122" s="19"/>
      <c r="X122" s="19"/>
      <c r="Y122" s="19"/>
      <c r="Z122" s="19"/>
      <c r="AA122" s="77"/>
      <c r="AB122" s="84"/>
      <c r="AC122" s="19"/>
      <c r="AD122" s="77">
        <f>SUM(AD121:AE121)</f>
        <v>21</v>
      </c>
      <c r="AE122" s="84"/>
      <c r="AF122" s="20"/>
      <c r="AG122" s="20"/>
      <c r="AH122" s="78"/>
      <c r="AI122" s="79"/>
    </row>
    <row r="123" spans="1:37" ht="16.35" customHeight="1">
      <c r="B123" s="94" t="s">
        <v>32</v>
      </c>
      <c r="C123" s="95"/>
      <c r="D123" s="95"/>
      <c r="E123" s="95"/>
      <c r="F123" s="95"/>
      <c r="G123" s="95"/>
      <c r="H123" s="95"/>
      <c r="I123" s="95"/>
      <c r="J123" s="95"/>
      <c r="K123" s="95"/>
      <c r="L123" s="96"/>
      <c r="M123" s="95"/>
      <c r="N123" s="95"/>
      <c r="O123" s="95"/>
      <c r="P123" s="95"/>
      <c r="Q123" s="95"/>
      <c r="R123" s="95"/>
      <c r="S123" s="95"/>
      <c r="T123" s="97"/>
      <c r="U123" s="97"/>
      <c r="V123" s="97"/>
      <c r="W123" s="95"/>
      <c r="X123" s="95"/>
      <c r="Y123" s="95"/>
      <c r="Z123" s="98"/>
      <c r="AA123" s="99"/>
      <c r="AB123" s="99"/>
      <c r="AC123" s="95"/>
      <c r="AD123" s="95"/>
      <c r="AE123" s="95"/>
      <c r="AF123" s="95"/>
      <c r="AG123" s="95"/>
      <c r="AH123" s="95"/>
      <c r="AI123" s="100"/>
    </row>
    <row r="124" spans="2:37" ht="24.95" customHeight="1">
      <c r="B124" s="73" t="s">
        <v>115</v>
      </c>
      <c r="C124" s="74"/>
      <c r="D124" s="74"/>
      <c r="E124" s="74"/>
      <c r="F124" s="74"/>
      <c r="G124" s="73">
        <v>1606</v>
      </c>
      <c r="H124" s="74"/>
      <c r="I124" s="74"/>
      <c r="J124" s="74"/>
      <c r="K124" s="17">
        <v>21</v>
      </c>
      <c r="L124" s="18">
        <f>K124-M124</f>
        <v>21</v>
      </c>
      <c r="M124" s="75">
        <f>S124+T124+Z124+AA124+AC124</f>
        <v>0</v>
      </c>
      <c r="N124" s="76"/>
      <c r="O124" s="19"/>
      <c r="P124" s="75"/>
      <c r="Q124" s="83"/>
      <c r="R124" s="17"/>
      <c r="S124" s="17"/>
      <c r="T124" s="77"/>
      <c r="U124" s="83"/>
      <c r="V124" s="84"/>
      <c r="W124" s="19"/>
      <c r="X124" s="19"/>
      <c r="Y124" s="19"/>
      <c r="Z124" s="19"/>
      <c r="AA124" s="77"/>
      <c r="AB124" s="84"/>
      <c r="AC124" s="19"/>
      <c r="AD124" s="89">
        <f>K124-M124</f>
        <v>21</v>
      </c>
      <c r="AE124" s="91"/>
      <c r="AF124" s="20"/>
      <c r="AG124" s="20"/>
      <c r="AH124" s="78"/>
      <c r="AI124" s="79"/>
      <c r="AK124" s="1">
        <v>1</v>
      </c>
    </row>
    <row r="125" spans="2:37" ht="16.35" customHeight="1">
      <c r="B125" s="73" t="s">
        <v>116</v>
      </c>
      <c r="C125" s="74"/>
      <c r="D125" s="74"/>
      <c r="E125" s="74"/>
      <c r="F125" s="74"/>
      <c r="G125" s="73">
        <v>1610</v>
      </c>
      <c r="H125" s="74"/>
      <c r="I125" s="74"/>
      <c r="J125" s="74"/>
      <c r="K125" s="17">
        <v>21</v>
      </c>
      <c r="L125" s="18">
        <f>K125-M125</f>
        <v>21</v>
      </c>
      <c r="M125" s="75">
        <f>S125+T125+Z125+AA125+AC125</f>
        <v>0</v>
      </c>
      <c r="N125" s="76"/>
      <c r="O125" s="19"/>
      <c r="P125" s="75"/>
      <c r="Q125" s="83"/>
      <c r="R125" s="17"/>
      <c r="S125" s="17"/>
      <c r="T125" s="77"/>
      <c r="U125" s="83"/>
      <c r="V125" s="84"/>
      <c r="W125" s="19"/>
      <c r="X125" s="19"/>
      <c r="Y125" s="19"/>
      <c r="Z125" s="19"/>
      <c r="AA125" s="77"/>
      <c r="AB125" s="84"/>
      <c r="AC125" s="19"/>
      <c r="AD125" s="89">
        <f>K125-M125</f>
        <v>21</v>
      </c>
      <c r="AE125" s="91"/>
      <c r="AF125" s="20"/>
      <c r="AG125" s="20"/>
      <c r="AH125" s="78"/>
      <c r="AI125" s="79"/>
      <c r="AK125" s="1">
        <v>1</v>
      </c>
    </row>
    <row r="126" spans="2:37" ht="16.35" customHeight="1">
      <c r="B126" s="73" t="s">
        <v>117</v>
      </c>
      <c r="C126" s="74"/>
      <c r="D126" s="74"/>
      <c r="E126" s="74"/>
      <c r="F126" s="74"/>
      <c r="G126" s="73">
        <v>1611</v>
      </c>
      <c r="H126" s="74"/>
      <c r="I126" s="74"/>
      <c r="J126" s="74"/>
      <c r="K126" s="17">
        <v>21</v>
      </c>
      <c r="L126" s="18">
        <f>K126-M126</f>
        <v>21</v>
      </c>
      <c r="M126" s="75">
        <f>S126+T126+Z126+AA126+AC126</f>
        <v>0</v>
      </c>
      <c r="N126" s="76"/>
      <c r="O126" s="19"/>
      <c r="P126" s="75"/>
      <c r="Q126" s="83"/>
      <c r="R126" s="17"/>
      <c r="S126" s="17"/>
      <c r="T126" s="77"/>
      <c r="U126" s="83"/>
      <c r="V126" s="84"/>
      <c r="W126" s="19"/>
      <c r="X126" s="19"/>
      <c r="Y126" s="19"/>
      <c r="Z126" s="19"/>
      <c r="AA126" s="77"/>
      <c r="AB126" s="84"/>
      <c r="AC126" s="19"/>
      <c r="AD126" s="89">
        <f>K126-M126</f>
        <v>21</v>
      </c>
      <c r="AE126" s="91"/>
      <c r="AF126" s="20"/>
      <c r="AG126" s="20"/>
      <c r="AH126" s="78"/>
      <c r="AI126" s="79"/>
      <c r="AK126" s="1">
        <v>1</v>
      </c>
    </row>
    <row r="127" spans="2:37" ht="24.95" customHeight="1">
      <c r="B127" s="73" t="s">
        <v>118</v>
      </c>
      <c r="C127" s="74"/>
      <c r="D127" s="74"/>
      <c r="E127" s="74"/>
      <c r="F127" s="74"/>
      <c r="G127" s="73">
        <v>1617</v>
      </c>
      <c r="H127" s="74"/>
      <c r="I127" s="74"/>
      <c r="J127" s="74"/>
      <c r="K127" s="17">
        <v>21</v>
      </c>
      <c r="L127" s="18">
        <f>K127-M127</f>
        <v>21</v>
      </c>
      <c r="M127" s="75">
        <f>S127+T127+Z127+AA127+AC127</f>
        <v>0</v>
      </c>
      <c r="N127" s="76"/>
      <c r="O127" s="19"/>
      <c r="P127" s="75"/>
      <c r="Q127" s="83"/>
      <c r="R127" s="17"/>
      <c r="S127" s="17"/>
      <c r="T127" s="77"/>
      <c r="U127" s="83"/>
      <c r="V127" s="84"/>
      <c r="W127" s="19"/>
      <c r="X127" s="19"/>
      <c r="Y127" s="19"/>
      <c r="Z127" s="19"/>
      <c r="AA127" s="77"/>
      <c r="AB127" s="84"/>
      <c r="AC127" s="19"/>
      <c r="AD127" s="89">
        <f>K127-M127</f>
        <v>21</v>
      </c>
      <c r="AE127" s="91"/>
      <c r="AF127" s="20"/>
      <c r="AG127" s="20"/>
      <c r="AH127" s="78"/>
      <c r="AI127" s="79"/>
      <c r="AK127" s="1">
        <v>1</v>
      </c>
    </row>
    <row r="128" spans="2:37" ht="24.95" customHeight="1">
      <c r="B128" s="73" t="s">
        <v>119</v>
      </c>
      <c r="C128" s="74"/>
      <c r="D128" s="74"/>
      <c r="E128" s="74"/>
      <c r="F128" s="74"/>
      <c r="G128" s="73">
        <v>1618</v>
      </c>
      <c r="H128" s="74"/>
      <c r="I128" s="74"/>
      <c r="J128" s="74"/>
      <c r="K128" s="17">
        <v>21</v>
      </c>
      <c r="L128" s="18">
        <f>K128-M128</f>
        <v>21</v>
      </c>
      <c r="M128" s="75">
        <f>S128+T128+Z128+AA128+AC128</f>
        <v>0</v>
      </c>
      <c r="N128" s="76"/>
      <c r="O128" s="19"/>
      <c r="P128" s="75"/>
      <c r="Q128" s="83"/>
      <c r="R128" s="17"/>
      <c r="S128" s="17"/>
      <c r="T128" s="77"/>
      <c r="U128" s="83"/>
      <c r="V128" s="84"/>
      <c r="W128" s="19"/>
      <c r="X128" s="19"/>
      <c r="Y128" s="19"/>
      <c r="Z128" s="19"/>
      <c r="AA128" s="77"/>
      <c r="AB128" s="84"/>
      <c r="AC128" s="19"/>
      <c r="AD128" s="89">
        <f>K128-M128</f>
        <v>21</v>
      </c>
      <c r="AE128" s="91"/>
      <c r="AF128" s="20"/>
      <c r="AG128" s="20"/>
      <c r="AH128" s="78"/>
      <c r="AI128" s="79"/>
      <c r="AK128" s="1">
        <v>1</v>
      </c>
    </row>
    <row r="129" spans="2:37" ht="24.95" customHeight="1">
      <c r="B129" s="73" t="s">
        <v>120</v>
      </c>
      <c r="C129" s="74"/>
      <c r="D129" s="74"/>
      <c r="E129" s="74"/>
      <c r="F129" s="74"/>
      <c r="G129" s="73">
        <v>1629</v>
      </c>
      <c r="H129" s="74"/>
      <c r="I129" s="74"/>
      <c r="J129" s="74"/>
      <c r="K129" s="17">
        <v>21</v>
      </c>
      <c r="L129" s="18">
        <f>K129-M129</f>
        <v>21</v>
      </c>
      <c r="M129" s="75">
        <f>S129+T129+Z129+AA129+AC129</f>
        <v>0</v>
      </c>
      <c r="N129" s="76"/>
      <c r="O129" s="19"/>
      <c r="P129" s="75"/>
      <c r="Q129" s="83"/>
      <c r="R129" s="17"/>
      <c r="S129" s="17"/>
      <c r="T129" s="77"/>
      <c r="U129" s="83"/>
      <c r="V129" s="84"/>
      <c r="W129" s="19"/>
      <c r="X129" s="19"/>
      <c r="Y129" s="19"/>
      <c r="Z129" s="19"/>
      <c r="AA129" s="77"/>
      <c r="AB129" s="84"/>
      <c r="AC129" s="19"/>
      <c r="AD129" s="89">
        <f>K129-M129</f>
        <v>21</v>
      </c>
      <c r="AE129" s="91"/>
      <c r="AF129" s="20"/>
      <c r="AG129" s="20"/>
      <c r="AH129" s="78"/>
      <c r="AI129" s="79"/>
      <c r="AK129" s="1">
        <v>1</v>
      </c>
    </row>
    <row r="130" spans="2:37" ht="24.95" customHeight="1">
      <c r="B130" s="73" t="s">
        <v>121</v>
      </c>
      <c r="C130" s="74"/>
      <c r="D130" s="74"/>
      <c r="E130" s="74"/>
      <c r="F130" s="74"/>
      <c r="G130" s="73">
        <v>1633</v>
      </c>
      <c r="H130" s="74"/>
      <c r="I130" s="74"/>
      <c r="J130" s="74"/>
      <c r="K130" s="17">
        <v>21</v>
      </c>
      <c r="L130" s="18">
        <f>K130-M130</f>
        <v>21</v>
      </c>
      <c r="M130" s="75">
        <f>S130+T130+Z130+AA130+AC130</f>
        <v>0</v>
      </c>
      <c r="N130" s="76"/>
      <c r="O130" s="19"/>
      <c r="P130" s="75"/>
      <c r="Q130" s="83"/>
      <c r="R130" s="17"/>
      <c r="S130" s="17"/>
      <c r="T130" s="77"/>
      <c r="U130" s="83"/>
      <c r="V130" s="84"/>
      <c r="W130" s="19"/>
      <c r="X130" s="19"/>
      <c r="Y130" s="19"/>
      <c r="Z130" s="19"/>
      <c r="AA130" s="77"/>
      <c r="AB130" s="84"/>
      <c r="AC130" s="19"/>
      <c r="AD130" s="89">
        <f>K130-M130</f>
        <v>21</v>
      </c>
      <c r="AE130" s="91"/>
      <c r="AF130" s="20"/>
      <c r="AG130" s="20"/>
      <c r="AH130" s="78"/>
      <c r="AI130" s="79"/>
      <c r="AK130" s="1">
        <v>1</v>
      </c>
    </row>
    <row r="131" spans="2:37" ht="16.35" customHeight="1">
      <c r="B131" s="80" t="s">
        <v>31</v>
      </c>
      <c r="C131" s="81"/>
      <c r="D131" s="81"/>
      <c r="E131" s="81"/>
      <c r="F131" s="81"/>
      <c r="G131" s="81"/>
      <c r="H131" s="81"/>
      <c r="I131" s="81"/>
      <c r="J131" s="82"/>
      <c r="K131" s="17">
        <f>SUM(K124:K130)</f>
        <v>147</v>
      </c>
      <c r="L131" s="18">
        <f>SUM(L124:L130)</f>
        <v>147</v>
      </c>
      <c r="M131" s="75"/>
      <c r="N131" s="83"/>
      <c r="O131" s="19"/>
      <c r="P131" s="75"/>
      <c r="Q131" s="83"/>
      <c r="R131" s="17"/>
      <c r="S131" s="17"/>
      <c r="T131" s="77"/>
      <c r="U131" s="83"/>
      <c r="V131" s="84"/>
      <c r="W131" s="19"/>
      <c r="X131" s="19"/>
      <c r="Y131" s="19"/>
      <c r="Z131" s="19"/>
      <c r="AA131" s="77"/>
      <c r="AB131" s="84"/>
      <c r="AC131" s="19"/>
      <c r="AD131" s="77">
        <f>SUM(AD124:AE130)</f>
        <v>147</v>
      </c>
      <c r="AE131" s="84"/>
      <c r="AF131" s="20"/>
      <c r="AG131" s="20"/>
      <c r="AH131" s="78"/>
      <c r="AI131" s="79"/>
    </row>
    <row r="132" spans="1:37" ht="16.35" customHeight="1">
      <c r="B132" s="94" t="s">
        <v>23</v>
      </c>
      <c r="C132" s="95"/>
      <c r="D132" s="95"/>
      <c r="E132" s="95"/>
      <c r="F132" s="95"/>
      <c r="G132" s="95"/>
      <c r="H132" s="95"/>
      <c r="I132" s="95"/>
      <c r="J132" s="95"/>
      <c r="K132" s="95"/>
      <c r="L132" s="96"/>
      <c r="M132" s="95"/>
      <c r="N132" s="95"/>
      <c r="O132" s="95"/>
      <c r="P132" s="95"/>
      <c r="Q132" s="95"/>
      <c r="R132" s="95"/>
      <c r="S132" s="95"/>
      <c r="T132" s="97"/>
      <c r="U132" s="97"/>
      <c r="V132" s="97"/>
      <c r="W132" s="95"/>
      <c r="X132" s="95"/>
      <c r="Y132" s="95"/>
      <c r="Z132" s="98"/>
      <c r="AA132" s="99"/>
      <c r="AB132" s="99"/>
      <c r="AC132" s="95"/>
      <c r="AD132" s="95"/>
      <c r="AE132" s="95"/>
      <c r="AF132" s="95"/>
      <c r="AG132" s="95"/>
      <c r="AH132" s="95"/>
      <c r="AI132" s="100"/>
    </row>
    <row r="133" spans="2:37" ht="16.35" customHeight="1">
      <c r="B133" s="73" t="s">
        <v>122</v>
      </c>
      <c r="C133" s="74"/>
      <c r="D133" s="74"/>
      <c r="E133" s="74"/>
      <c r="F133" s="74"/>
      <c r="G133" s="73">
        <v>1641</v>
      </c>
      <c r="H133" s="74"/>
      <c r="I133" s="74"/>
      <c r="J133" s="74"/>
      <c r="K133" s="17">
        <v>21</v>
      </c>
      <c r="L133" s="18">
        <f>K133-M133</f>
        <v>21</v>
      </c>
      <c r="M133" s="75">
        <f>S133+T133+Z133+AA133+AC133</f>
        <v>0</v>
      </c>
      <c r="N133" s="76"/>
      <c r="O133" s="19"/>
      <c r="P133" s="75"/>
      <c r="Q133" s="83"/>
      <c r="R133" s="17"/>
      <c r="S133" s="17"/>
      <c r="T133" s="77"/>
      <c r="U133" s="83"/>
      <c r="V133" s="84"/>
      <c r="W133" s="19"/>
      <c r="X133" s="19"/>
      <c r="Y133" s="19"/>
      <c r="Z133" s="19"/>
      <c r="AA133" s="77"/>
      <c r="AB133" s="84"/>
      <c r="AC133" s="19"/>
      <c r="AD133" s="89">
        <f>K133-M133</f>
        <v>21</v>
      </c>
      <c r="AE133" s="91"/>
      <c r="AF133" s="20"/>
      <c r="AG133" s="20"/>
      <c r="AH133" s="78"/>
      <c r="AI133" s="79"/>
      <c r="AK133" s="1">
        <v>1</v>
      </c>
    </row>
    <row r="134" spans="2:37" ht="16.35" customHeight="1">
      <c r="B134" s="80" t="s">
        <v>64</v>
      </c>
      <c r="C134" s="81"/>
      <c r="D134" s="81"/>
      <c r="E134" s="81"/>
      <c r="F134" s="81"/>
      <c r="G134" s="81"/>
      <c r="H134" s="81"/>
      <c r="I134" s="81"/>
      <c r="J134" s="82"/>
      <c r="K134" s="17">
        <f>SUM(K133:K133)</f>
        <v>21</v>
      </c>
      <c r="L134" s="18">
        <f>SUM(L133:L133)</f>
        <v>21</v>
      </c>
      <c r="M134" s="75"/>
      <c r="N134" s="83"/>
      <c r="O134" s="19"/>
      <c r="P134" s="75"/>
      <c r="Q134" s="83"/>
      <c r="R134" s="17"/>
      <c r="S134" s="17"/>
      <c r="T134" s="77"/>
      <c r="U134" s="83"/>
      <c r="V134" s="84"/>
      <c r="W134" s="19"/>
      <c r="X134" s="19"/>
      <c r="Y134" s="19"/>
      <c r="Z134" s="19"/>
      <c r="AA134" s="77"/>
      <c r="AB134" s="84"/>
      <c r="AC134" s="19"/>
      <c r="AD134" s="77">
        <f>SUM(AD133:AE133)</f>
        <v>21</v>
      </c>
      <c r="AE134" s="84"/>
      <c r="AF134" s="20"/>
      <c r="AG134" s="20"/>
      <c r="AH134" s="78"/>
      <c r="AI134" s="79"/>
    </row>
    <row r="135" spans="1:37" ht="16.35" customHeight="1">
      <c r="B135" s="94" t="s">
        <v>32</v>
      </c>
      <c r="C135" s="95"/>
      <c r="D135" s="95"/>
      <c r="E135" s="95"/>
      <c r="F135" s="95"/>
      <c r="G135" s="95"/>
      <c r="H135" s="95"/>
      <c r="I135" s="95"/>
      <c r="J135" s="95"/>
      <c r="K135" s="95"/>
      <c r="L135" s="96"/>
      <c r="M135" s="95"/>
      <c r="N135" s="95"/>
      <c r="O135" s="95"/>
      <c r="P135" s="95"/>
      <c r="Q135" s="95"/>
      <c r="R135" s="95"/>
      <c r="S135" s="95"/>
      <c r="T135" s="97"/>
      <c r="U135" s="97"/>
      <c r="V135" s="97"/>
      <c r="W135" s="95"/>
      <c r="X135" s="95"/>
      <c r="Y135" s="95"/>
      <c r="Z135" s="98"/>
      <c r="AA135" s="99"/>
      <c r="AB135" s="99"/>
      <c r="AC135" s="95"/>
      <c r="AD135" s="95"/>
      <c r="AE135" s="95"/>
      <c r="AF135" s="95"/>
      <c r="AG135" s="95"/>
      <c r="AH135" s="95"/>
      <c r="AI135" s="100"/>
    </row>
    <row r="136" spans="2:37" ht="24.95" customHeight="1">
      <c r="B136" s="73" t="s">
        <v>123</v>
      </c>
      <c r="C136" s="74"/>
      <c r="D136" s="74"/>
      <c r="E136" s="74"/>
      <c r="F136" s="74"/>
      <c r="G136" s="73">
        <v>1648</v>
      </c>
      <c r="H136" s="74"/>
      <c r="I136" s="74"/>
      <c r="J136" s="74"/>
      <c r="K136" s="17">
        <v>21</v>
      </c>
      <c r="L136" s="18">
        <f>K136-M136</f>
        <v>21</v>
      </c>
      <c r="M136" s="75">
        <f>S136+T136+Z136+AA136+AC136</f>
        <v>0</v>
      </c>
      <c r="N136" s="76"/>
      <c r="O136" s="19"/>
      <c r="P136" s="75"/>
      <c r="Q136" s="83"/>
      <c r="R136" s="17"/>
      <c r="S136" s="17"/>
      <c r="T136" s="77"/>
      <c r="U136" s="83"/>
      <c r="V136" s="84"/>
      <c r="W136" s="19"/>
      <c r="X136" s="19"/>
      <c r="Y136" s="19"/>
      <c r="Z136" s="19"/>
      <c r="AA136" s="77"/>
      <c r="AB136" s="84"/>
      <c r="AC136" s="19"/>
      <c r="AD136" s="89">
        <f>K136-M136</f>
        <v>21</v>
      </c>
      <c r="AE136" s="91"/>
      <c r="AF136" s="20"/>
      <c r="AG136" s="20"/>
      <c r="AH136" s="78"/>
      <c r="AI136" s="79"/>
      <c r="AK136" s="1">
        <v>1</v>
      </c>
    </row>
    <row r="137" spans="2:37" ht="24.95" customHeight="1">
      <c r="B137" s="73" t="s">
        <v>124</v>
      </c>
      <c r="C137" s="74"/>
      <c r="D137" s="74"/>
      <c r="E137" s="74"/>
      <c r="F137" s="74"/>
      <c r="G137" s="73">
        <v>1662</v>
      </c>
      <c r="H137" s="74"/>
      <c r="I137" s="74"/>
      <c r="J137" s="74"/>
      <c r="K137" s="17">
        <v>21</v>
      </c>
      <c r="L137" s="18">
        <f>K137-M137</f>
        <v>21</v>
      </c>
      <c r="M137" s="75">
        <f>S137+T137+Z137+AA137+AC137</f>
        <v>0</v>
      </c>
      <c r="N137" s="76"/>
      <c r="O137" s="19"/>
      <c r="P137" s="75"/>
      <c r="Q137" s="83"/>
      <c r="R137" s="17"/>
      <c r="S137" s="17"/>
      <c r="T137" s="77"/>
      <c r="U137" s="83"/>
      <c r="V137" s="84"/>
      <c r="W137" s="19"/>
      <c r="X137" s="19"/>
      <c r="Y137" s="19"/>
      <c r="Z137" s="19"/>
      <c r="AA137" s="77"/>
      <c r="AB137" s="84"/>
      <c r="AC137" s="19"/>
      <c r="AD137" s="89">
        <f>K137-M137</f>
        <v>21</v>
      </c>
      <c r="AE137" s="91"/>
      <c r="AF137" s="20"/>
      <c r="AG137" s="20"/>
      <c r="AH137" s="78"/>
      <c r="AI137" s="79"/>
      <c r="AK137" s="1">
        <v>1</v>
      </c>
    </row>
    <row r="138" spans="2:37" ht="16.35" customHeight="1">
      <c r="B138" s="80" t="s">
        <v>60</v>
      </c>
      <c r="C138" s="81"/>
      <c r="D138" s="81"/>
      <c r="E138" s="81"/>
      <c r="F138" s="81"/>
      <c r="G138" s="81"/>
      <c r="H138" s="81"/>
      <c r="I138" s="81"/>
      <c r="J138" s="82"/>
      <c r="K138" s="17">
        <f>SUM(K136:K137)</f>
        <v>42</v>
      </c>
      <c r="L138" s="18">
        <f>SUM(L136:L137)</f>
        <v>42</v>
      </c>
      <c r="M138" s="75"/>
      <c r="N138" s="83"/>
      <c r="O138" s="19"/>
      <c r="P138" s="75"/>
      <c r="Q138" s="83"/>
      <c r="R138" s="17"/>
      <c r="S138" s="17"/>
      <c r="T138" s="77"/>
      <c r="U138" s="83"/>
      <c r="V138" s="84"/>
      <c r="W138" s="19"/>
      <c r="X138" s="19"/>
      <c r="Y138" s="19"/>
      <c r="Z138" s="19"/>
      <c r="AA138" s="77"/>
      <c r="AB138" s="84"/>
      <c r="AC138" s="19"/>
      <c r="AD138" s="77">
        <f>SUM(AD136:AE137)</f>
        <v>42</v>
      </c>
      <c r="AE138" s="84"/>
      <c r="AF138" s="20"/>
      <c r="AG138" s="20"/>
      <c r="AH138" s="78"/>
      <c r="AI138" s="79"/>
    </row>
    <row r="139" spans="1:37" ht="16.35" customHeight="1">
      <c r="B139" s="94" t="s">
        <v>23</v>
      </c>
      <c r="C139" s="95"/>
      <c r="D139" s="95"/>
      <c r="E139" s="95"/>
      <c r="F139" s="95"/>
      <c r="G139" s="95"/>
      <c r="H139" s="95"/>
      <c r="I139" s="95"/>
      <c r="J139" s="95"/>
      <c r="K139" s="95"/>
      <c r="L139" s="96"/>
      <c r="M139" s="95"/>
      <c r="N139" s="95"/>
      <c r="O139" s="95"/>
      <c r="P139" s="95"/>
      <c r="Q139" s="95"/>
      <c r="R139" s="95"/>
      <c r="S139" s="95"/>
      <c r="T139" s="97"/>
      <c r="U139" s="97"/>
      <c r="V139" s="97"/>
      <c r="W139" s="95"/>
      <c r="X139" s="95"/>
      <c r="Y139" s="95"/>
      <c r="Z139" s="98"/>
      <c r="AA139" s="99"/>
      <c r="AB139" s="99"/>
      <c r="AC139" s="95"/>
      <c r="AD139" s="95"/>
      <c r="AE139" s="95"/>
      <c r="AF139" s="95"/>
      <c r="AG139" s="95"/>
      <c r="AH139" s="95"/>
      <c r="AI139" s="100"/>
    </row>
    <row r="140" spans="2:37" ht="16.35" customHeight="1">
      <c r="B140" s="73" t="s">
        <v>125</v>
      </c>
      <c r="C140" s="74"/>
      <c r="D140" s="74"/>
      <c r="E140" s="74"/>
      <c r="F140" s="74"/>
      <c r="G140" s="73">
        <v>1700</v>
      </c>
      <c r="H140" s="74"/>
      <c r="I140" s="74"/>
      <c r="J140" s="74"/>
      <c r="K140" s="17">
        <v>21</v>
      </c>
      <c r="L140" s="18">
        <f>K140-M140</f>
        <v>21</v>
      </c>
      <c r="M140" s="75">
        <f>S140+T140+Z140+AA140+AC140</f>
        <v>0</v>
      </c>
      <c r="N140" s="76"/>
      <c r="O140" s="19"/>
      <c r="P140" s="75"/>
      <c r="Q140" s="83"/>
      <c r="R140" s="17"/>
      <c r="S140" s="17"/>
      <c r="T140" s="77"/>
      <c r="U140" s="83"/>
      <c r="V140" s="84"/>
      <c r="W140" s="19"/>
      <c r="X140" s="19"/>
      <c r="Y140" s="19"/>
      <c r="Z140" s="19"/>
      <c r="AA140" s="77"/>
      <c r="AB140" s="84"/>
      <c r="AC140" s="19"/>
      <c r="AD140" s="89">
        <f>K140-M140</f>
        <v>21</v>
      </c>
      <c r="AE140" s="91"/>
      <c r="AF140" s="20"/>
      <c r="AG140" s="20"/>
      <c r="AH140" s="78"/>
      <c r="AI140" s="79"/>
      <c r="AK140" s="1">
        <v>1</v>
      </c>
    </row>
    <row r="141" spans="2:37" ht="24.95" customHeight="1">
      <c r="B141" s="73" t="s">
        <v>126</v>
      </c>
      <c r="C141" s="74"/>
      <c r="D141" s="74"/>
      <c r="E141" s="74"/>
      <c r="F141" s="74"/>
      <c r="G141" s="73">
        <v>1701</v>
      </c>
      <c r="H141" s="74"/>
      <c r="I141" s="74"/>
      <c r="J141" s="74"/>
      <c r="K141" s="17">
        <v>21</v>
      </c>
      <c r="L141" s="18">
        <f>K141-M141</f>
        <v>21</v>
      </c>
      <c r="M141" s="75">
        <f>S141+T141+Z141+AA141+AC141</f>
        <v>0</v>
      </c>
      <c r="N141" s="76"/>
      <c r="O141" s="19"/>
      <c r="P141" s="75"/>
      <c r="Q141" s="83"/>
      <c r="R141" s="17"/>
      <c r="S141" s="17"/>
      <c r="T141" s="77"/>
      <c r="U141" s="83"/>
      <c r="V141" s="84"/>
      <c r="W141" s="19"/>
      <c r="X141" s="19"/>
      <c r="Y141" s="19"/>
      <c r="Z141" s="19"/>
      <c r="AA141" s="77"/>
      <c r="AB141" s="84"/>
      <c r="AC141" s="19"/>
      <c r="AD141" s="89">
        <f>K141-M141</f>
        <v>21</v>
      </c>
      <c r="AE141" s="91"/>
      <c r="AF141" s="20"/>
      <c r="AG141" s="20"/>
      <c r="AH141" s="78"/>
      <c r="AI141" s="79"/>
      <c r="AK141" s="1">
        <v>1</v>
      </c>
    </row>
    <row r="142" spans="2:37" ht="24.95" customHeight="1">
      <c r="B142" s="73" t="s">
        <v>127</v>
      </c>
      <c r="C142" s="74"/>
      <c r="D142" s="74"/>
      <c r="E142" s="74"/>
      <c r="F142" s="74"/>
      <c r="G142" s="73">
        <v>1702</v>
      </c>
      <c r="H142" s="74"/>
      <c r="I142" s="74"/>
      <c r="J142" s="74"/>
      <c r="K142" s="17">
        <v>21</v>
      </c>
      <c r="L142" s="18">
        <f>K142-M142</f>
        <v>21</v>
      </c>
      <c r="M142" s="75">
        <f>S142+T142+Z142+AA142+AC142</f>
        <v>0</v>
      </c>
      <c r="N142" s="76"/>
      <c r="O142" s="19"/>
      <c r="P142" s="75"/>
      <c r="Q142" s="83"/>
      <c r="R142" s="17"/>
      <c r="S142" s="17"/>
      <c r="T142" s="77"/>
      <c r="U142" s="83"/>
      <c r="V142" s="84"/>
      <c r="W142" s="19"/>
      <c r="X142" s="19"/>
      <c r="Y142" s="19"/>
      <c r="Z142" s="19"/>
      <c r="AA142" s="77"/>
      <c r="AB142" s="84"/>
      <c r="AC142" s="19"/>
      <c r="AD142" s="89">
        <f>K142-M142</f>
        <v>21</v>
      </c>
      <c r="AE142" s="91"/>
      <c r="AF142" s="20"/>
      <c r="AG142" s="20"/>
      <c r="AH142" s="78"/>
      <c r="AI142" s="79"/>
      <c r="AK142" s="1">
        <v>1</v>
      </c>
    </row>
    <row r="143" spans="2:37" ht="16.35" customHeight="1">
      <c r="B143" s="73" t="s">
        <v>128</v>
      </c>
      <c r="C143" s="74"/>
      <c r="D143" s="74"/>
      <c r="E143" s="74"/>
      <c r="F143" s="74"/>
      <c r="G143" s="73">
        <v>1703</v>
      </c>
      <c r="H143" s="74"/>
      <c r="I143" s="74"/>
      <c r="J143" s="74"/>
      <c r="K143" s="17">
        <v>21</v>
      </c>
      <c r="L143" s="18">
        <f>K143-M143</f>
        <v>21</v>
      </c>
      <c r="M143" s="75">
        <f>S143+T143+Z143+AA143+AC143</f>
        <v>0</v>
      </c>
      <c r="N143" s="76"/>
      <c r="O143" s="19"/>
      <c r="P143" s="75"/>
      <c r="Q143" s="83"/>
      <c r="R143" s="17"/>
      <c r="S143" s="17"/>
      <c r="T143" s="77"/>
      <c r="U143" s="83"/>
      <c r="V143" s="84"/>
      <c r="W143" s="19"/>
      <c r="X143" s="19"/>
      <c r="Y143" s="19"/>
      <c r="Z143" s="19"/>
      <c r="AA143" s="77"/>
      <c r="AB143" s="84"/>
      <c r="AC143" s="19"/>
      <c r="AD143" s="89">
        <f>K143-M143</f>
        <v>21</v>
      </c>
      <c r="AE143" s="91"/>
      <c r="AF143" s="20"/>
      <c r="AG143" s="20"/>
      <c r="AH143" s="78"/>
      <c r="AI143" s="79"/>
      <c r="AK143" s="1">
        <v>1</v>
      </c>
    </row>
    <row r="144" spans="2:37" ht="16.35" customHeight="1">
      <c r="B144" s="73" t="s">
        <v>129</v>
      </c>
      <c r="C144" s="74"/>
      <c r="D144" s="74"/>
      <c r="E144" s="74"/>
      <c r="F144" s="74"/>
      <c r="G144" s="73">
        <v>1704</v>
      </c>
      <c r="H144" s="74"/>
      <c r="I144" s="74"/>
      <c r="J144" s="74"/>
      <c r="K144" s="17">
        <v>21</v>
      </c>
      <c r="L144" s="18">
        <f>K144-M144</f>
        <v>21</v>
      </c>
      <c r="M144" s="75">
        <f>S144+T144+Z144+AA144+AC144</f>
        <v>0</v>
      </c>
      <c r="N144" s="76"/>
      <c r="O144" s="19"/>
      <c r="P144" s="75"/>
      <c r="Q144" s="83"/>
      <c r="R144" s="17"/>
      <c r="S144" s="17"/>
      <c r="T144" s="77"/>
      <c r="U144" s="83"/>
      <c r="V144" s="84"/>
      <c r="W144" s="19"/>
      <c r="X144" s="19"/>
      <c r="Y144" s="19"/>
      <c r="Z144" s="19"/>
      <c r="AA144" s="77"/>
      <c r="AB144" s="84"/>
      <c r="AC144" s="19"/>
      <c r="AD144" s="89">
        <f>K144-M144</f>
        <v>21</v>
      </c>
      <c r="AE144" s="91"/>
      <c r="AF144" s="20"/>
      <c r="AG144" s="20"/>
      <c r="AH144" s="78"/>
      <c r="AI144" s="79"/>
      <c r="AK144" s="1">
        <v>1</v>
      </c>
    </row>
    <row r="145" spans="2:37" ht="24.95" customHeight="1">
      <c r="B145" s="73" t="s">
        <v>130</v>
      </c>
      <c r="C145" s="74"/>
      <c r="D145" s="74"/>
      <c r="E145" s="74"/>
      <c r="F145" s="74"/>
      <c r="G145" s="73">
        <v>1705</v>
      </c>
      <c r="H145" s="74"/>
      <c r="I145" s="74"/>
      <c r="J145" s="74"/>
      <c r="K145" s="17">
        <v>21</v>
      </c>
      <c r="L145" s="18">
        <f>K145-M145</f>
        <v>21</v>
      </c>
      <c r="M145" s="75">
        <f>S145+T145+Z145+AA145+AC145</f>
        <v>0</v>
      </c>
      <c r="N145" s="76"/>
      <c r="O145" s="19"/>
      <c r="P145" s="75"/>
      <c r="Q145" s="83"/>
      <c r="R145" s="17"/>
      <c r="S145" s="17"/>
      <c r="T145" s="77"/>
      <c r="U145" s="83"/>
      <c r="V145" s="84"/>
      <c r="W145" s="19"/>
      <c r="X145" s="19"/>
      <c r="Y145" s="19"/>
      <c r="Z145" s="19"/>
      <c r="AA145" s="77"/>
      <c r="AB145" s="84"/>
      <c r="AC145" s="19"/>
      <c r="AD145" s="89">
        <f>K145-M145</f>
        <v>21</v>
      </c>
      <c r="AE145" s="91"/>
      <c r="AF145" s="20"/>
      <c r="AG145" s="20"/>
      <c r="AH145" s="78"/>
      <c r="AI145" s="79"/>
      <c r="AK145" s="1">
        <v>1</v>
      </c>
    </row>
    <row r="146" spans="2:37" ht="24.95" customHeight="1">
      <c r="B146" s="73" t="s">
        <v>131</v>
      </c>
      <c r="C146" s="74"/>
      <c r="D146" s="74"/>
      <c r="E146" s="74"/>
      <c r="F146" s="74"/>
      <c r="G146" s="73">
        <v>1706</v>
      </c>
      <c r="H146" s="74"/>
      <c r="I146" s="74"/>
      <c r="J146" s="74"/>
      <c r="K146" s="17">
        <v>21</v>
      </c>
      <c r="L146" s="18">
        <f>K146-M146</f>
        <v>21</v>
      </c>
      <c r="M146" s="75">
        <f>S146+T146+Z146+AA146+AC146</f>
        <v>0</v>
      </c>
      <c r="N146" s="76"/>
      <c r="O146" s="19"/>
      <c r="P146" s="75"/>
      <c r="Q146" s="83"/>
      <c r="R146" s="17"/>
      <c r="S146" s="17"/>
      <c r="T146" s="77"/>
      <c r="U146" s="83"/>
      <c r="V146" s="84"/>
      <c r="W146" s="19"/>
      <c r="X146" s="19"/>
      <c r="Y146" s="19"/>
      <c r="Z146" s="19"/>
      <c r="AA146" s="77"/>
      <c r="AB146" s="84"/>
      <c r="AC146" s="19"/>
      <c r="AD146" s="89">
        <f>K146-M146</f>
        <v>21</v>
      </c>
      <c r="AE146" s="91"/>
      <c r="AF146" s="20"/>
      <c r="AG146" s="20"/>
      <c r="AH146" s="78"/>
      <c r="AI146" s="79"/>
      <c r="AK146" s="1">
        <v>1</v>
      </c>
    </row>
    <row r="147" spans="2:37" ht="24.95" customHeight="1">
      <c r="B147" s="73" t="s">
        <v>132</v>
      </c>
      <c r="C147" s="74"/>
      <c r="D147" s="74"/>
      <c r="E147" s="74"/>
      <c r="F147" s="74"/>
      <c r="G147" s="73">
        <v>1707</v>
      </c>
      <c r="H147" s="74"/>
      <c r="I147" s="74"/>
      <c r="J147" s="74"/>
      <c r="K147" s="17">
        <v>21</v>
      </c>
      <c r="L147" s="18">
        <f>K147-M147</f>
        <v>21</v>
      </c>
      <c r="M147" s="75">
        <f>S147+T147+Z147+AA147+AC147</f>
        <v>0</v>
      </c>
      <c r="N147" s="76"/>
      <c r="O147" s="19"/>
      <c r="P147" s="75"/>
      <c r="Q147" s="83"/>
      <c r="R147" s="17"/>
      <c r="S147" s="17"/>
      <c r="T147" s="77"/>
      <c r="U147" s="83"/>
      <c r="V147" s="84"/>
      <c r="W147" s="19"/>
      <c r="X147" s="19"/>
      <c r="Y147" s="19"/>
      <c r="Z147" s="19"/>
      <c r="AA147" s="77"/>
      <c r="AB147" s="84"/>
      <c r="AC147" s="19"/>
      <c r="AD147" s="89">
        <f>K147-M147</f>
        <v>21</v>
      </c>
      <c r="AE147" s="91"/>
      <c r="AF147" s="20"/>
      <c r="AG147" s="20"/>
      <c r="AH147" s="78"/>
      <c r="AI147" s="79"/>
      <c r="AK147" s="1">
        <v>1</v>
      </c>
    </row>
    <row r="148" spans="2:37" ht="16.35" customHeight="1">
      <c r="B148" s="80" t="s">
        <v>73</v>
      </c>
      <c r="C148" s="81"/>
      <c r="D148" s="81"/>
      <c r="E148" s="81"/>
      <c r="F148" s="81"/>
      <c r="G148" s="81"/>
      <c r="H148" s="81"/>
      <c r="I148" s="81"/>
      <c r="J148" s="82"/>
      <c r="K148" s="17">
        <f>SUM(K140:K147)</f>
        <v>168</v>
      </c>
      <c r="L148" s="18">
        <f>SUM(L140:L147)</f>
        <v>168</v>
      </c>
      <c r="M148" s="75"/>
      <c r="N148" s="83"/>
      <c r="O148" s="19"/>
      <c r="P148" s="75"/>
      <c r="Q148" s="83"/>
      <c r="R148" s="17"/>
      <c r="S148" s="17"/>
      <c r="T148" s="77"/>
      <c r="U148" s="83"/>
      <c r="V148" s="84"/>
      <c r="W148" s="19"/>
      <c r="X148" s="19"/>
      <c r="Y148" s="19"/>
      <c r="Z148" s="19"/>
      <c r="AA148" s="77"/>
      <c r="AB148" s="84"/>
      <c r="AC148" s="19"/>
      <c r="AD148" s="77">
        <f>SUM(AD140:AE147)</f>
        <v>168</v>
      </c>
      <c r="AE148" s="84"/>
      <c r="AF148" s="20"/>
      <c r="AG148" s="20"/>
      <c r="AH148" s="78"/>
      <c r="AI148" s="79"/>
    </row>
    <row r="149" spans="1:37" ht="16.35" customHeight="1">
      <c r="B149" s="94" t="s">
        <v>32</v>
      </c>
      <c r="C149" s="95"/>
      <c r="D149" s="95"/>
      <c r="E149" s="95"/>
      <c r="F149" s="95"/>
      <c r="G149" s="95"/>
      <c r="H149" s="95"/>
      <c r="I149" s="95"/>
      <c r="J149" s="95"/>
      <c r="K149" s="95"/>
      <c r="L149" s="96"/>
      <c r="M149" s="95"/>
      <c r="N149" s="95"/>
      <c r="O149" s="95"/>
      <c r="P149" s="95"/>
      <c r="Q149" s="95"/>
      <c r="R149" s="95"/>
      <c r="S149" s="95"/>
      <c r="T149" s="97"/>
      <c r="U149" s="97"/>
      <c r="V149" s="97"/>
      <c r="W149" s="95"/>
      <c r="X149" s="95"/>
      <c r="Y149" s="95"/>
      <c r="Z149" s="98"/>
      <c r="AA149" s="99"/>
      <c r="AB149" s="99"/>
      <c r="AC149" s="95"/>
      <c r="AD149" s="95"/>
      <c r="AE149" s="95"/>
      <c r="AF149" s="95"/>
      <c r="AG149" s="95"/>
      <c r="AH149" s="95"/>
      <c r="AI149" s="100"/>
    </row>
    <row r="150" spans="2:37" ht="24.95" customHeight="1">
      <c r="B150" s="73" t="s">
        <v>133</v>
      </c>
      <c r="C150" s="74"/>
      <c r="D150" s="74"/>
      <c r="E150" s="74"/>
      <c r="F150" s="74"/>
      <c r="G150" s="73">
        <v>1726</v>
      </c>
      <c r="H150" s="74"/>
      <c r="I150" s="74"/>
      <c r="J150" s="74"/>
      <c r="K150" s="17">
        <v>21</v>
      </c>
      <c r="L150" s="18">
        <f>K150-M150</f>
        <v>21</v>
      </c>
      <c r="M150" s="75">
        <f>S150+T150+Z150+AA150+AC150</f>
        <v>0</v>
      </c>
      <c r="N150" s="76"/>
      <c r="O150" s="19"/>
      <c r="P150" s="75"/>
      <c r="Q150" s="83"/>
      <c r="R150" s="17"/>
      <c r="S150" s="17"/>
      <c r="T150" s="77"/>
      <c r="U150" s="83"/>
      <c r="V150" s="84"/>
      <c r="W150" s="19"/>
      <c r="X150" s="19"/>
      <c r="Y150" s="19"/>
      <c r="Z150" s="19"/>
      <c r="AA150" s="77"/>
      <c r="AB150" s="84"/>
      <c r="AC150" s="19"/>
      <c r="AD150" s="89">
        <f>K150-M150</f>
        <v>21</v>
      </c>
      <c r="AE150" s="91"/>
      <c r="AF150" s="20"/>
      <c r="AG150" s="20"/>
      <c r="AH150" s="78"/>
      <c r="AI150" s="79"/>
      <c r="AK150" s="1">
        <v>1</v>
      </c>
    </row>
    <row r="151" spans="2:37" ht="24.95" customHeight="1">
      <c r="B151" s="73" t="s">
        <v>134</v>
      </c>
      <c r="C151" s="74"/>
      <c r="D151" s="74"/>
      <c r="E151" s="74"/>
      <c r="F151" s="74"/>
      <c r="G151" s="73">
        <v>1760</v>
      </c>
      <c r="H151" s="74"/>
      <c r="I151" s="74"/>
      <c r="J151" s="74"/>
      <c r="K151" s="17">
        <v>21</v>
      </c>
      <c r="L151" s="18">
        <f>K151-M151</f>
        <v>21</v>
      </c>
      <c r="M151" s="75">
        <f>S151+T151+Z151+AA151+AC151</f>
        <v>0</v>
      </c>
      <c r="N151" s="76"/>
      <c r="O151" s="19"/>
      <c r="P151" s="75"/>
      <c r="Q151" s="83"/>
      <c r="R151" s="17"/>
      <c r="S151" s="17"/>
      <c r="T151" s="77"/>
      <c r="U151" s="83"/>
      <c r="V151" s="84"/>
      <c r="W151" s="19"/>
      <c r="X151" s="19"/>
      <c r="Y151" s="19"/>
      <c r="Z151" s="19"/>
      <c r="AA151" s="77"/>
      <c r="AB151" s="84"/>
      <c r="AC151" s="19"/>
      <c r="AD151" s="89">
        <f>K151-M151</f>
        <v>21</v>
      </c>
      <c r="AE151" s="91"/>
      <c r="AF151" s="20"/>
      <c r="AG151" s="20"/>
      <c r="AH151" s="78"/>
      <c r="AI151" s="79"/>
      <c r="AK151" s="1">
        <v>1</v>
      </c>
    </row>
    <row r="152" spans="2:37" ht="24.95" customHeight="1">
      <c r="B152" s="73" t="s">
        <v>135</v>
      </c>
      <c r="C152" s="74"/>
      <c r="D152" s="74"/>
      <c r="E152" s="74"/>
      <c r="F152" s="74"/>
      <c r="G152" s="73">
        <v>1765</v>
      </c>
      <c r="H152" s="74"/>
      <c r="I152" s="74"/>
      <c r="J152" s="74"/>
      <c r="K152" s="17">
        <v>21</v>
      </c>
      <c r="L152" s="18">
        <f>K152-M152</f>
        <v>21</v>
      </c>
      <c r="M152" s="75">
        <f>S152+T152+Z152+AA152+AC152</f>
        <v>0</v>
      </c>
      <c r="N152" s="76"/>
      <c r="O152" s="19"/>
      <c r="P152" s="75"/>
      <c r="Q152" s="83"/>
      <c r="R152" s="17"/>
      <c r="S152" s="17"/>
      <c r="T152" s="77"/>
      <c r="U152" s="83"/>
      <c r="V152" s="84"/>
      <c r="W152" s="19"/>
      <c r="X152" s="19"/>
      <c r="Y152" s="19"/>
      <c r="Z152" s="19"/>
      <c r="AA152" s="77"/>
      <c r="AB152" s="84"/>
      <c r="AC152" s="19"/>
      <c r="AD152" s="89">
        <f>K152-M152</f>
        <v>21</v>
      </c>
      <c r="AE152" s="91"/>
      <c r="AF152" s="20"/>
      <c r="AG152" s="20"/>
      <c r="AH152" s="78"/>
      <c r="AI152" s="79"/>
      <c r="AK152" s="1">
        <v>1</v>
      </c>
    </row>
    <row r="153" spans="2:37" ht="24.95" customHeight="1">
      <c r="B153" s="73" t="s">
        <v>136</v>
      </c>
      <c r="C153" s="74"/>
      <c r="D153" s="74"/>
      <c r="E153" s="74"/>
      <c r="F153" s="74"/>
      <c r="G153" s="73">
        <v>1766</v>
      </c>
      <c r="H153" s="74"/>
      <c r="I153" s="74"/>
      <c r="J153" s="74"/>
      <c r="K153" s="17">
        <v>21</v>
      </c>
      <c r="L153" s="18">
        <f>K153-M153</f>
        <v>21</v>
      </c>
      <c r="M153" s="75">
        <f>S153+T153+Z153+AA153+AC153</f>
        <v>0</v>
      </c>
      <c r="N153" s="76"/>
      <c r="O153" s="19"/>
      <c r="P153" s="75"/>
      <c r="Q153" s="83"/>
      <c r="R153" s="17"/>
      <c r="S153" s="17"/>
      <c r="T153" s="77"/>
      <c r="U153" s="83"/>
      <c r="V153" s="84"/>
      <c r="W153" s="19"/>
      <c r="X153" s="19"/>
      <c r="Y153" s="19"/>
      <c r="Z153" s="19"/>
      <c r="AA153" s="77"/>
      <c r="AB153" s="84"/>
      <c r="AC153" s="19"/>
      <c r="AD153" s="89">
        <f>K153-M153</f>
        <v>21</v>
      </c>
      <c r="AE153" s="91"/>
      <c r="AF153" s="20"/>
      <c r="AG153" s="20"/>
      <c r="AH153" s="78"/>
      <c r="AI153" s="79"/>
      <c r="AK153" s="1">
        <v>1</v>
      </c>
    </row>
    <row r="154" spans="2:37" ht="24.95" customHeight="1">
      <c r="B154" s="73" t="s">
        <v>137</v>
      </c>
      <c r="C154" s="74"/>
      <c r="D154" s="74"/>
      <c r="E154" s="74"/>
      <c r="F154" s="74"/>
      <c r="G154" s="73">
        <v>1793</v>
      </c>
      <c r="H154" s="74"/>
      <c r="I154" s="74"/>
      <c r="J154" s="74"/>
      <c r="K154" s="17">
        <v>21</v>
      </c>
      <c r="L154" s="18">
        <f>K154-M154</f>
        <v>21</v>
      </c>
      <c r="M154" s="75">
        <f>S154+T154+Z154+AA154+AC154</f>
        <v>0</v>
      </c>
      <c r="N154" s="76"/>
      <c r="O154" s="19"/>
      <c r="P154" s="75"/>
      <c r="Q154" s="83"/>
      <c r="R154" s="17"/>
      <c r="S154" s="17"/>
      <c r="T154" s="77"/>
      <c r="U154" s="83"/>
      <c r="V154" s="84"/>
      <c r="W154" s="19"/>
      <c r="X154" s="19"/>
      <c r="Y154" s="19"/>
      <c r="Z154" s="19"/>
      <c r="AA154" s="77"/>
      <c r="AB154" s="84"/>
      <c r="AC154" s="19"/>
      <c r="AD154" s="89">
        <f>K154-M154</f>
        <v>21</v>
      </c>
      <c r="AE154" s="91"/>
      <c r="AF154" s="20"/>
      <c r="AG154" s="20"/>
      <c r="AH154" s="78"/>
      <c r="AI154" s="79"/>
      <c r="AK154" s="1">
        <v>1</v>
      </c>
    </row>
    <row r="155" spans="2:37" ht="24.95" customHeight="1">
      <c r="B155" s="73" t="s">
        <v>138</v>
      </c>
      <c r="C155" s="74"/>
      <c r="D155" s="74"/>
      <c r="E155" s="74"/>
      <c r="F155" s="74"/>
      <c r="G155" s="73">
        <v>1794</v>
      </c>
      <c r="H155" s="74"/>
      <c r="I155" s="74"/>
      <c r="J155" s="74"/>
      <c r="K155" s="17">
        <v>21</v>
      </c>
      <c r="L155" s="18">
        <f>K155-M155</f>
        <v>21</v>
      </c>
      <c r="M155" s="75">
        <f>S155+T155+Z155+AA155+AC155</f>
        <v>0</v>
      </c>
      <c r="N155" s="76"/>
      <c r="O155" s="19"/>
      <c r="P155" s="75"/>
      <c r="Q155" s="83"/>
      <c r="R155" s="17"/>
      <c r="S155" s="17"/>
      <c r="T155" s="77"/>
      <c r="U155" s="83"/>
      <c r="V155" s="84"/>
      <c r="W155" s="19"/>
      <c r="X155" s="19"/>
      <c r="Y155" s="19"/>
      <c r="Z155" s="19"/>
      <c r="AA155" s="77"/>
      <c r="AB155" s="84"/>
      <c r="AC155" s="19"/>
      <c r="AD155" s="89">
        <f>K155-M155</f>
        <v>21</v>
      </c>
      <c r="AE155" s="91"/>
      <c r="AF155" s="20"/>
      <c r="AG155" s="20"/>
      <c r="AH155" s="78"/>
      <c r="AI155" s="79"/>
      <c r="AK155" s="1">
        <v>1</v>
      </c>
    </row>
    <row r="156" spans="2:37" ht="24.95" customHeight="1">
      <c r="B156" s="73" t="s">
        <v>139</v>
      </c>
      <c r="C156" s="74"/>
      <c r="D156" s="74"/>
      <c r="E156" s="74"/>
      <c r="F156" s="74"/>
      <c r="G156" s="73">
        <v>1801</v>
      </c>
      <c r="H156" s="74"/>
      <c r="I156" s="74"/>
      <c r="J156" s="74"/>
      <c r="K156" s="17">
        <v>21</v>
      </c>
      <c r="L156" s="18">
        <f>K156-M156</f>
        <v>21</v>
      </c>
      <c r="M156" s="75">
        <f>S156+T156+Z156+AA156+AC156</f>
        <v>0</v>
      </c>
      <c r="N156" s="76"/>
      <c r="O156" s="19"/>
      <c r="P156" s="75"/>
      <c r="Q156" s="83"/>
      <c r="R156" s="17"/>
      <c r="S156" s="17"/>
      <c r="T156" s="77"/>
      <c r="U156" s="83"/>
      <c r="V156" s="84"/>
      <c r="W156" s="19"/>
      <c r="X156" s="19"/>
      <c r="Y156" s="19"/>
      <c r="Z156" s="19"/>
      <c r="AA156" s="77"/>
      <c r="AB156" s="84"/>
      <c r="AC156" s="19"/>
      <c r="AD156" s="89">
        <f>K156-M156</f>
        <v>21</v>
      </c>
      <c r="AE156" s="91"/>
      <c r="AF156" s="20"/>
      <c r="AG156" s="20"/>
      <c r="AH156" s="78"/>
      <c r="AI156" s="79"/>
      <c r="AK156" s="1">
        <v>1</v>
      </c>
    </row>
    <row r="157" spans="2:37" ht="24.95" customHeight="1">
      <c r="B157" s="73" t="s">
        <v>140</v>
      </c>
      <c r="C157" s="74"/>
      <c r="D157" s="74"/>
      <c r="E157" s="74"/>
      <c r="F157" s="74"/>
      <c r="G157" s="73">
        <v>1802</v>
      </c>
      <c r="H157" s="74"/>
      <c r="I157" s="74"/>
      <c r="J157" s="74"/>
      <c r="K157" s="17">
        <v>21</v>
      </c>
      <c r="L157" s="18">
        <f>K157-M157</f>
        <v>21</v>
      </c>
      <c r="M157" s="75">
        <f>S157+T157+Z157+AA157+AC157</f>
        <v>0</v>
      </c>
      <c r="N157" s="76"/>
      <c r="O157" s="19"/>
      <c r="P157" s="75"/>
      <c r="Q157" s="83"/>
      <c r="R157" s="17"/>
      <c r="S157" s="17"/>
      <c r="T157" s="77"/>
      <c r="U157" s="83"/>
      <c r="V157" s="84"/>
      <c r="W157" s="19"/>
      <c r="X157" s="19"/>
      <c r="Y157" s="19"/>
      <c r="Z157" s="19"/>
      <c r="AA157" s="77"/>
      <c r="AB157" s="84"/>
      <c r="AC157" s="19"/>
      <c r="AD157" s="89">
        <f>K157-M157</f>
        <v>21</v>
      </c>
      <c r="AE157" s="91"/>
      <c r="AF157" s="20"/>
      <c r="AG157" s="20"/>
      <c r="AH157" s="78"/>
      <c r="AI157" s="79"/>
      <c r="AK157" s="1">
        <v>1</v>
      </c>
    </row>
    <row r="158" spans="2:37" ht="24.95" customHeight="1">
      <c r="B158" s="73" t="s">
        <v>141</v>
      </c>
      <c r="C158" s="74"/>
      <c r="D158" s="74"/>
      <c r="E158" s="74"/>
      <c r="F158" s="74"/>
      <c r="G158" s="73">
        <v>1804</v>
      </c>
      <c r="H158" s="74"/>
      <c r="I158" s="74"/>
      <c r="J158" s="74"/>
      <c r="K158" s="17">
        <v>21</v>
      </c>
      <c r="L158" s="18">
        <f>K158-M158</f>
        <v>21</v>
      </c>
      <c r="M158" s="75">
        <f>S158+T158+Z158+AA158+AC158</f>
        <v>0</v>
      </c>
      <c r="N158" s="76"/>
      <c r="O158" s="19"/>
      <c r="P158" s="75"/>
      <c r="Q158" s="83"/>
      <c r="R158" s="17"/>
      <c r="S158" s="17"/>
      <c r="T158" s="77"/>
      <c r="U158" s="83"/>
      <c r="V158" s="84"/>
      <c r="W158" s="19"/>
      <c r="X158" s="19"/>
      <c r="Y158" s="19"/>
      <c r="Z158" s="19"/>
      <c r="AA158" s="77"/>
      <c r="AB158" s="84"/>
      <c r="AC158" s="19"/>
      <c r="AD158" s="89">
        <f>K158-M158</f>
        <v>21</v>
      </c>
      <c r="AE158" s="91"/>
      <c r="AF158" s="20"/>
      <c r="AG158" s="20"/>
      <c r="AH158" s="78"/>
      <c r="AI158" s="79"/>
      <c r="AK158" s="1">
        <v>1</v>
      </c>
    </row>
    <row r="159" spans="2:37" ht="24.95" customHeight="1">
      <c r="B159" s="73" t="s">
        <v>142</v>
      </c>
      <c r="C159" s="74"/>
      <c r="D159" s="74"/>
      <c r="E159" s="74"/>
      <c r="F159" s="74"/>
      <c r="G159" s="73">
        <v>1807</v>
      </c>
      <c r="H159" s="74"/>
      <c r="I159" s="74"/>
      <c r="J159" s="74"/>
      <c r="K159" s="17">
        <v>21</v>
      </c>
      <c r="L159" s="18">
        <f>K159-M159</f>
        <v>21</v>
      </c>
      <c r="M159" s="75">
        <f>S159+T159+Z159+AA159+AC159</f>
        <v>0</v>
      </c>
      <c r="N159" s="76"/>
      <c r="O159" s="19"/>
      <c r="P159" s="75"/>
      <c r="Q159" s="83"/>
      <c r="R159" s="17"/>
      <c r="S159" s="17"/>
      <c r="T159" s="77"/>
      <c r="U159" s="83"/>
      <c r="V159" s="84"/>
      <c r="W159" s="19"/>
      <c r="X159" s="19"/>
      <c r="Y159" s="19"/>
      <c r="Z159" s="19"/>
      <c r="AA159" s="77"/>
      <c r="AB159" s="84"/>
      <c r="AC159" s="19"/>
      <c r="AD159" s="89">
        <f>K159-M159</f>
        <v>21</v>
      </c>
      <c r="AE159" s="91"/>
      <c r="AF159" s="20"/>
      <c r="AG159" s="20"/>
      <c r="AH159" s="78"/>
      <c r="AI159" s="79"/>
      <c r="AK159" s="1">
        <v>1</v>
      </c>
    </row>
    <row r="160" spans="2:37" ht="24.95" customHeight="1">
      <c r="B160" s="73" t="s">
        <v>143</v>
      </c>
      <c r="C160" s="74"/>
      <c r="D160" s="74"/>
      <c r="E160" s="74"/>
      <c r="F160" s="74"/>
      <c r="G160" s="73">
        <v>1846</v>
      </c>
      <c r="H160" s="74"/>
      <c r="I160" s="74"/>
      <c r="J160" s="74"/>
      <c r="K160" s="17">
        <v>21</v>
      </c>
      <c r="L160" s="18">
        <f>K160-M160</f>
        <v>21</v>
      </c>
      <c r="M160" s="75">
        <f>S160+T160+Z160+AA160+AC160</f>
        <v>0</v>
      </c>
      <c r="N160" s="76"/>
      <c r="O160" s="19"/>
      <c r="P160" s="75"/>
      <c r="Q160" s="83"/>
      <c r="R160" s="17"/>
      <c r="S160" s="17"/>
      <c r="T160" s="77"/>
      <c r="U160" s="83"/>
      <c r="V160" s="84"/>
      <c r="W160" s="19"/>
      <c r="X160" s="19"/>
      <c r="Y160" s="19"/>
      <c r="Z160" s="19"/>
      <c r="AA160" s="77"/>
      <c r="AB160" s="84"/>
      <c r="AC160" s="19"/>
      <c r="AD160" s="89">
        <f>K160-M160</f>
        <v>21</v>
      </c>
      <c r="AE160" s="91"/>
      <c r="AF160" s="20"/>
      <c r="AG160" s="20"/>
      <c r="AH160" s="78"/>
      <c r="AI160" s="79"/>
      <c r="AK160" s="1">
        <v>1</v>
      </c>
    </row>
    <row r="161" spans="2:37" ht="24.95" customHeight="1">
      <c r="B161" s="73" t="s">
        <v>144</v>
      </c>
      <c r="C161" s="74"/>
      <c r="D161" s="74"/>
      <c r="E161" s="74"/>
      <c r="F161" s="74"/>
      <c r="G161" s="73">
        <v>1848</v>
      </c>
      <c r="H161" s="74"/>
      <c r="I161" s="74"/>
      <c r="J161" s="74"/>
      <c r="K161" s="17">
        <v>21</v>
      </c>
      <c r="L161" s="18">
        <f>K161-M161</f>
        <v>21</v>
      </c>
      <c r="M161" s="75">
        <f>S161+T161+Z161+AA161+AC161</f>
        <v>0</v>
      </c>
      <c r="N161" s="76"/>
      <c r="O161" s="19"/>
      <c r="P161" s="75"/>
      <c r="Q161" s="83"/>
      <c r="R161" s="17"/>
      <c r="S161" s="17"/>
      <c r="T161" s="77"/>
      <c r="U161" s="83"/>
      <c r="V161" s="84"/>
      <c r="W161" s="19"/>
      <c r="X161" s="19"/>
      <c r="Y161" s="19"/>
      <c r="Z161" s="19"/>
      <c r="AA161" s="77"/>
      <c r="AB161" s="84"/>
      <c r="AC161" s="19"/>
      <c r="AD161" s="89">
        <f>K161-M161</f>
        <v>21</v>
      </c>
      <c r="AE161" s="91"/>
      <c r="AF161" s="20"/>
      <c r="AG161" s="20"/>
      <c r="AH161" s="78"/>
      <c r="AI161" s="79"/>
      <c r="AK161" s="1">
        <v>1</v>
      </c>
    </row>
    <row r="162" spans="2:37" ht="24.95" customHeight="1">
      <c r="B162" s="73" t="s">
        <v>145</v>
      </c>
      <c r="C162" s="74"/>
      <c r="D162" s="74"/>
      <c r="E162" s="74"/>
      <c r="F162" s="74"/>
      <c r="G162" s="73">
        <v>1857</v>
      </c>
      <c r="H162" s="74"/>
      <c r="I162" s="74"/>
      <c r="J162" s="74"/>
      <c r="K162" s="17">
        <v>21</v>
      </c>
      <c r="L162" s="18">
        <f>K162-M162</f>
        <v>21</v>
      </c>
      <c r="M162" s="75">
        <f>S162+T162+Z162+AA162+AC162</f>
        <v>0</v>
      </c>
      <c r="N162" s="76"/>
      <c r="O162" s="19"/>
      <c r="P162" s="75"/>
      <c r="Q162" s="83"/>
      <c r="R162" s="17"/>
      <c r="S162" s="17"/>
      <c r="T162" s="77"/>
      <c r="U162" s="83"/>
      <c r="V162" s="84"/>
      <c r="W162" s="19"/>
      <c r="X162" s="19"/>
      <c r="Y162" s="19"/>
      <c r="Z162" s="19"/>
      <c r="AA162" s="77"/>
      <c r="AB162" s="84"/>
      <c r="AC162" s="19"/>
      <c r="AD162" s="89">
        <f>K162-M162</f>
        <v>21</v>
      </c>
      <c r="AE162" s="91"/>
      <c r="AF162" s="20"/>
      <c r="AG162" s="20"/>
      <c r="AH162" s="78"/>
      <c r="AI162" s="79"/>
      <c r="AK162" s="1">
        <v>1</v>
      </c>
    </row>
    <row r="163" spans="2:37" ht="24.95" customHeight="1">
      <c r="B163" s="73" t="s">
        <v>146</v>
      </c>
      <c r="C163" s="74"/>
      <c r="D163" s="74"/>
      <c r="E163" s="74"/>
      <c r="F163" s="74"/>
      <c r="G163" s="73">
        <v>1861</v>
      </c>
      <c r="H163" s="74"/>
      <c r="I163" s="74"/>
      <c r="J163" s="74"/>
      <c r="K163" s="17">
        <v>21</v>
      </c>
      <c r="L163" s="18">
        <f>K163-M163</f>
        <v>21</v>
      </c>
      <c r="M163" s="75">
        <f>S163+T163+Z163+AA163+AC163</f>
        <v>0</v>
      </c>
      <c r="N163" s="76"/>
      <c r="O163" s="19"/>
      <c r="P163" s="75"/>
      <c r="Q163" s="83"/>
      <c r="R163" s="17"/>
      <c r="S163" s="17"/>
      <c r="T163" s="77"/>
      <c r="U163" s="83"/>
      <c r="V163" s="84"/>
      <c r="W163" s="19"/>
      <c r="X163" s="19"/>
      <c r="Y163" s="19"/>
      <c r="Z163" s="19"/>
      <c r="AA163" s="77"/>
      <c r="AB163" s="84"/>
      <c r="AC163" s="19"/>
      <c r="AD163" s="89">
        <f>K163-M163</f>
        <v>21</v>
      </c>
      <c r="AE163" s="91"/>
      <c r="AF163" s="20"/>
      <c r="AG163" s="20"/>
      <c r="AH163" s="78"/>
      <c r="AI163" s="79"/>
      <c r="AK163" s="1">
        <v>1</v>
      </c>
    </row>
    <row r="164" spans="2:37" ht="24.95" customHeight="1">
      <c r="B164" s="73" t="s">
        <v>147</v>
      </c>
      <c r="C164" s="74"/>
      <c r="D164" s="74"/>
      <c r="E164" s="74"/>
      <c r="F164" s="74"/>
      <c r="G164" s="73">
        <v>1866</v>
      </c>
      <c r="H164" s="74"/>
      <c r="I164" s="74"/>
      <c r="J164" s="74"/>
      <c r="K164" s="17">
        <v>21</v>
      </c>
      <c r="L164" s="18">
        <f>K164-M164</f>
        <v>21</v>
      </c>
      <c r="M164" s="75">
        <f>S164+T164+Z164+AA164+AC164</f>
        <v>0</v>
      </c>
      <c r="N164" s="76"/>
      <c r="O164" s="19"/>
      <c r="P164" s="75"/>
      <c r="Q164" s="83"/>
      <c r="R164" s="17"/>
      <c r="S164" s="17"/>
      <c r="T164" s="77"/>
      <c r="U164" s="83"/>
      <c r="V164" s="84"/>
      <c r="W164" s="19"/>
      <c r="X164" s="19"/>
      <c r="Y164" s="19"/>
      <c r="Z164" s="19"/>
      <c r="AA164" s="77"/>
      <c r="AB164" s="84"/>
      <c r="AC164" s="19"/>
      <c r="AD164" s="89">
        <f>K164-M164</f>
        <v>21</v>
      </c>
      <c r="AE164" s="91"/>
      <c r="AF164" s="20"/>
      <c r="AG164" s="20"/>
      <c r="AH164" s="78"/>
      <c r="AI164" s="79"/>
      <c r="AK164" s="1">
        <v>1</v>
      </c>
    </row>
    <row r="165" spans="2:37" ht="24.95" customHeight="1">
      <c r="B165" s="73" t="s">
        <v>148</v>
      </c>
      <c r="C165" s="74"/>
      <c r="D165" s="74"/>
      <c r="E165" s="74"/>
      <c r="F165" s="74"/>
      <c r="G165" s="73">
        <v>1873</v>
      </c>
      <c r="H165" s="74"/>
      <c r="I165" s="74"/>
      <c r="J165" s="74"/>
      <c r="K165" s="17">
        <v>21</v>
      </c>
      <c r="L165" s="18">
        <f>K165-M165</f>
        <v>21</v>
      </c>
      <c r="M165" s="75">
        <f>S165+T165+Z165+AA165+AC165</f>
        <v>0</v>
      </c>
      <c r="N165" s="76"/>
      <c r="O165" s="19"/>
      <c r="P165" s="75"/>
      <c r="Q165" s="83"/>
      <c r="R165" s="17"/>
      <c r="S165" s="17"/>
      <c r="T165" s="77"/>
      <c r="U165" s="83"/>
      <c r="V165" s="84"/>
      <c r="W165" s="19"/>
      <c r="X165" s="19"/>
      <c r="Y165" s="19"/>
      <c r="Z165" s="19"/>
      <c r="AA165" s="77"/>
      <c r="AB165" s="84"/>
      <c r="AC165" s="19"/>
      <c r="AD165" s="89">
        <f>K165-M165</f>
        <v>21</v>
      </c>
      <c r="AE165" s="91"/>
      <c r="AF165" s="20"/>
      <c r="AG165" s="20"/>
      <c r="AH165" s="78"/>
      <c r="AI165" s="79"/>
      <c r="AK165" s="1">
        <v>1</v>
      </c>
    </row>
    <row r="166" spans="2:37" ht="24.95" customHeight="1">
      <c r="B166" s="73" t="s">
        <v>149</v>
      </c>
      <c r="C166" s="74"/>
      <c r="D166" s="74"/>
      <c r="E166" s="74"/>
      <c r="F166" s="74"/>
      <c r="G166" s="73">
        <v>1875</v>
      </c>
      <c r="H166" s="74"/>
      <c r="I166" s="74"/>
      <c r="J166" s="74"/>
      <c r="K166" s="17">
        <v>21</v>
      </c>
      <c r="L166" s="18">
        <f>K166-M166</f>
        <v>21</v>
      </c>
      <c r="M166" s="75">
        <f>S166+T166+Z166+AA166+AC166</f>
        <v>0</v>
      </c>
      <c r="N166" s="76"/>
      <c r="O166" s="19"/>
      <c r="P166" s="75"/>
      <c r="Q166" s="83"/>
      <c r="R166" s="17"/>
      <c r="S166" s="17"/>
      <c r="T166" s="77"/>
      <c r="U166" s="83"/>
      <c r="V166" s="84"/>
      <c r="W166" s="19"/>
      <c r="X166" s="19"/>
      <c r="Y166" s="19"/>
      <c r="Z166" s="19"/>
      <c r="AA166" s="77"/>
      <c r="AB166" s="84"/>
      <c r="AC166" s="19"/>
      <c r="AD166" s="89">
        <f>K166-M166</f>
        <v>21</v>
      </c>
      <c r="AE166" s="91"/>
      <c r="AF166" s="20"/>
      <c r="AG166" s="20"/>
      <c r="AH166" s="78"/>
      <c r="AI166" s="79"/>
      <c r="AK166" s="1">
        <v>1</v>
      </c>
    </row>
    <row r="167" spans="2:37" ht="24.95" customHeight="1">
      <c r="B167" s="73" t="s">
        <v>150</v>
      </c>
      <c r="C167" s="74"/>
      <c r="D167" s="74"/>
      <c r="E167" s="74"/>
      <c r="F167" s="74"/>
      <c r="G167" s="73">
        <v>1883</v>
      </c>
      <c r="H167" s="74"/>
      <c r="I167" s="74"/>
      <c r="J167" s="74"/>
      <c r="K167" s="17">
        <v>21</v>
      </c>
      <c r="L167" s="18">
        <f>K167-M167</f>
        <v>21</v>
      </c>
      <c r="M167" s="75">
        <f>S167+T167+Z167+AA167+AC167</f>
        <v>0</v>
      </c>
      <c r="N167" s="76"/>
      <c r="O167" s="19"/>
      <c r="P167" s="75"/>
      <c r="Q167" s="83"/>
      <c r="R167" s="17"/>
      <c r="S167" s="17"/>
      <c r="T167" s="77"/>
      <c r="U167" s="83"/>
      <c r="V167" s="84"/>
      <c r="W167" s="19"/>
      <c r="X167" s="19"/>
      <c r="Y167" s="19"/>
      <c r="Z167" s="19"/>
      <c r="AA167" s="77"/>
      <c r="AB167" s="84"/>
      <c r="AC167" s="19"/>
      <c r="AD167" s="89">
        <f>K167-M167</f>
        <v>21</v>
      </c>
      <c r="AE167" s="91"/>
      <c r="AF167" s="20"/>
      <c r="AG167" s="20"/>
      <c r="AH167" s="78"/>
      <c r="AI167" s="79"/>
      <c r="AK167" s="1">
        <v>1</v>
      </c>
    </row>
    <row r="168" spans="2:37" ht="16.35" customHeight="1">
      <c r="B168" s="80" t="s">
        <v>151</v>
      </c>
      <c r="C168" s="81"/>
      <c r="D168" s="81"/>
      <c r="E168" s="81"/>
      <c r="F168" s="81"/>
      <c r="G168" s="81"/>
      <c r="H168" s="81"/>
      <c r="I168" s="81"/>
      <c r="J168" s="82"/>
      <c r="K168" s="17">
        <f>SUM(K150:K167)</f>
        <v>378</v>
      </c>
      <c r="L168" s="18">
        <f>SUM(L150:L167)</f>
        <v>378</v>
      </c>
      <c r="M168" s="75"/>
      <c r="N168" s="83"/>
      <c r="O168" s="19"/>
      <c r="P168" s="75"/>
      <c r="Q168" s="83"/>
      <c r="R168" s="17"/>
      <c r="S168" s="17"/>
      <c r="T168" s="77"/>
      <c r="U168" s="83"/>
      <c r="V168" s="84"/>
      <c r="W168" s="19"/>
      <c r="X168" s="19"/>
      <c r="Y168" s="19"/>
      <c r="Z168" s="19"/>
      <c r="AA168" s="77"/>
      <c r="AB168" s="84"/>
      <c r="AC168" s="19"/>
      <c r="AD168" s="77">
        <f>SUM(AD150:AE167)</f>
        <v>378</v>
      </c>
      <c r="AE168" s="84"/>
      <c r="AF168" s="20"/>
      <c r="AG168" s="20"/>
      <c r="AH168" s="78"/>
      <c r="AI168" s="79"/>
    </row>
    <row r="169" spans="1:37" ht="16.35" customHeight="1">
      <c r="B169" s="94" t="s">
        <v>152</v>
      </c>
      <c r="C169" s="95"/>
      <c r="D169" s="95"/>
      <c r="E169" s="95"/>
      <c r="F169" s="95"/>
      <c r="G169" s="95"/>
      <c r="H169" s="95"/>
      <c r="I169" s="95"/>
      <c r="J169" s="95"/>
      <c r="K169" s="95"/>
      <c r="L169" s="96"/>
      <c r="M169" s="95"/>
      <c r="N169" s="95"/>
      <c r="O169" s="95"/>
      <c r="P169" s="95"/>
      <c r="Q169" s="95"/>
      <c r="R169" s="95"/>
      <c r="S169" s="95"/>
      <c r="T169" s="97"/>
      <c r="U169" s="97"/>
      <c r="V169" s="97"/>
      <c r="W169" s="95"/>
      <c r="X169" s="95"/>
      <c r="Y169" s="95"/>
      <c r="Z169" s="98"/>
      <c r="AA169" s="99"/>
      <c r="AB169" s="99"/>
      <c r="AC169" s="95"/>
      <c r="AD169" s="95"/>
      <c r="AE169" s="95"/>
      <c r="AF169" s="95"/>
      <c r="AG169" s="95"/>
      <c r="AH169" s="95"/>
      <c r="AI169" s="100"/>
    </row>
    <row r="170" spans="2:37" ht="16.35" customHeight="1">
      <c r="B170" s="73" t="s">
        <v>153</v>
      </c>
      <c r="C170" s="74"/>
      <c r="D170" s="74"/>
      <c r="E170" s="74"/>
      <c r="F170" s="74"/>
      <c r="G170" s="73">
        <v>1900</v>
      </c>
      <c r="H170" s="74"/>
      <c r="I170" s="74"/>
      <c r="J170" s="74"/>
      <c r="K170" s="17">
        <v>21</v>
      </c>
      <c r="L170" s="18">
        <f>K170-M170</f>
        <v>21</v>
      </c>
      <c r="M170" s="75">
        <f>S170+T170+Z170+AA170+AC170</f>
        <v>0</v>
      </c>
      <c r="N170" s="76"/>
      <c r="O170" s="19"/>
      <c r="P170" s="75"/>
      <c r="Q170" s="83"/>
      <c r="R170" s="17"/>
      <c r="S170" s="17"/>
      <c r="T170" s="77"/>
      <c r="U170" s="83"/>
      <c r="V170" s="84"/>
      <c r="W170" s="19"/>
      <c r="X170" s="19"/>
      <c r="Y170" s="19"/>
      <c r="Z170" s="19"/>
      <c r="AA170" s="77"/>
      <c r="AB170" s="84"/>
      <c r="AC170" s="19"/>
      <c r="AD170" s="89">
        <f>K170-M170</f>
        <v>21</v>
      </c>
      <c r="AE170" s="91"/>
      <c r="AF170" s="20"/>
      <c r="AG170" s="20"/>
      <c r="AH170" s="78"/>
      <c r="AI170" s="79"/>
      <c r="AK170" s="1">
        <v>1</v>
      </c>
    </row>
    <row r="171" spans="2:37" ht="16.35" customHeight="1">
      <c r="B171" s="73" t="s">
        <v>154</v>
      </c>
      <c r="C171" s="74"/>
      <c r="D171" s="74"/>
      <c r="E171" s="74"/>
      <c r="F171" s="74"/>
      <c r="G171" s="73">
        <v>1901</v>
      </c>
      <c r="H171" s="74"/>
      <c r="I171" s="74"/>
      <c r="J171" s="74"/>
      <c r="K171" s="17">
        <v>21</v>
      </c>
      <c r="L171" s="18">
        <f>K171-M171</f>
        <v>21</v>
      </c>
      <c r="M171" s="75">
        <f>S171+T171+Z171+AA171+AC171</f>
        <v>0</v>
      </c>
      <c r="N171" s="76"/>
      <c r="O171" s="19"/>
      <c r="P171" s="75"/>
      <c r="Q171" s="83"/>
      <c r="R171" s="17"/>
      <c r="S171" s="17"/>
      <c r="T171" s="77"/>
      <c r="U171" s="83"/>
      <c r="V171" s="84"/>
      <c r="W171" s="19"/>
      <c r="X171" s="19"/>
      <c r="Y171" s="19"/>
      <c r="Z171" s="19"/>
      <c r="AA171" s="77"/>
      <c r="AB171" s="84"/>
      <c r="AC171" s="19"/>
      <c r="AD171" s="89">
        <f>K171-M171</f>
        <v>21</v>
      </c>
      <c r="AE171" s="91"/>
      <c r="AF171" s="20"/>
      <c r="AG171" s="20"/>
      <c r="AH171" s="78"/>
      <c r="AI171" s="79"/>
      <c r="AK171" s="1">
        <v>1</v>
      </c>
    </row>
    <row r="172" spans="2:37" ht="24.95" customHeight="1">
      <c r="B172" s="73" t="s">
        <v>155</v>
      </c>
      <c r="C172" s="74"/>
      <c r="D172" s="74"/>
      <c r="E172" s="74"/>
      <c r="F172" s="74"/>
      <c r="G172" s="73">
        <v>1931</v>
      </c>
      <c r="H172" s="74"/>
      <c r="I172" s="74"/>
      <c r="J172" s="74"/>
      <c r="K172" s="17">
        <v>21</v>
      </c>
      <c r="L172" s="18">
        <f>K172-M172</f>
        <v>21</v>
      </c>
      <c r="M172" s="75">
        <f>S172+T172+Z172+AA172+AC172</f>
        <v>0</v>
      </c>
      <c r="N172" s="76"/>
      <c r="O172" s="19"/>
      <c r="P172" s="75"/>
      <c r="Q172" s="83"/>
      <c r="R172" s="17"/>
      <c r="S172" s="17"/>
      <c r="T172" s="77"/>
      <c r="U172" s="83"/>
      <c r="V172" s="84"/>
      <c r="W172" s="19"/>
      <c r="X172" s="19"/>
      <c r="Y172" s="19"/>
      <c r="Z172" s="19"/>
      <c r="AA172" s="77"/>
      <c r="AB172" s="84"/>
      <c r="AC172" s="19"/>
      <c r="AD172" s="89">
        <f>K172-M172</f>
        <v>21</v>
      </c>
      <c r="AE172" s="91"/>
      <c r="AF172" s="20"/>
      <c r="AG172" s="20"/>
      <c r="AH172" s="78"/>
      <c r="AI172" s="79"/>
      <c r="AK172" s="1">
        <v>1</v>
      </c>
    </row>
    <row r="173" spans="2:37" ht="16.35" customHeight="1">
      <c r="B173" s="73" t="s">
        <v>156</v>
      </c>
      <c r="C173" s="74"/>
      <c r="D173" s="74"/>
      <c r="E173" s="74"/>
      <c r="F173" s="74"/>
      <c r="G173" s="73">
        <v>1950</v>
      </c>
      <c r="H173" s="74"/>
      <c r="I173" s="74"/>
      <c r="J173" s="74"/>
      <c r="K173" s="17">
        <v>21</v>
      </c>
      <c r="L173" s="18">
        <f>K173-M173</f>
        <v>21</v>
      </c>
      <c r="M173" s="75">
        <f>S173+T173+Z173+AA173+AC173</f>
        <v>0</v>
      </c>
      <c r="N173" s="76"/>
      <c r="O173" s="19"/>
      <c r="P173" s="75"/>
      <c r="Q173" s="83"/>
      <c r="R173" s="17"/>
      <c r="S173" s="17"/>
      <c r="T173" s="77"/>
      <c r="U173" s="83"/>
      <c r="V173" s="84"/>
      <c r="W173" s="19"/>
      <c r="X173" s="19"/>
      <c r="Y173" s="19"/>
      <c r="Z173" s="19"/>
      <c r="AA173" s="77"/>
      <c r="AB173" s="84"/>
      <c r="AC173" s="19"/>
      <c r="AD173" s="89">
        <f>K173-M173</f>
        <v>21</v>
      </c>
      <c r="AE173" s="91"/>
      <c r="AF173" s="20"/>
      <c r="AG173" s="20"/>
      <c r="AH173" s="78"/>
      <c r="AI173" s="79"/>
      <c r="AK173" s="1">
        <v>1</v>
      </c>
    </row>
    <row r="174" spans="2:37" ht="24.95" customHeight="1">
      <c r="B174" s="73" t="s">
        <v>157</v>
      </c>
      <c r="C174" s="74"/>
      <c r="D174" s="74"/>
      <c r="E174" s="74"/>
      <c r="F174" s="74"/>
      <c r="G174" s="73">
        <v>1951</v>
      </c>
      <c r="H174" s="74"/>
      <c r="I174" s="74"/>
      <c r="J174" s="74"/>
      <c r="K174" s="17">
        <v>21</v>
      </c>
      <c r="L174" s="18">
        <f>K174-M174</f>
        <v>21</v>
      </c>
      <c r="M174" s="75">
        <f>S174+T174+Z174+AA174+AC174</f>
        <v>0</v>
      </c>
      <c r="N174" s="76"/>
      <c r="O174" s="19"/>
      <c r="P174" s="75"/>
      <c r="Q174" s="83"/>
      <c r="R174" s="17"/>
      <c r="S174" s="17"/>
      <c r="T174" s="77"/>
      <c r="U174" s="83"/>
      <c r="V174" s="84"/>
      <c r="W174" s="19"/>
      <c r="X174" s="19"/>
      <c r="Y174" s="19"/>
      <c r="Z174" s="19"/>
      <c r="AA174" s="77"/>
      <c r="AB174" s="84"/>
      <c r="AC174" s="19"/>
      <c r="AD174" s="89">
        <f>K174-M174</f>
        <v>21</v>
      </c>
      <c r="AE174" s="91"/>
      <c r="AF174" s="20"/>
      <c r="AG174" s="20"/>
      <c r="AH174" s="78"/>
      <c r="AI174" s="79"/>
      <c r="AK174" s="1">
        <v>1</v>
      </c>
    </row>
    <row r="175" spans="2:37" ht="16.35" customHeight="1">
      <c r="B175" s="73" t="s">
        <v>158</v>
      </c>
      <c r="C175" s="74"/>
      <c r="D175" s="74"/>
      <c r="E175" s="74"/>
      <c r="F175" s="74"/>
      <c r="G175" s="73">
        <v>1953</v>
      </c>
      <c r="H175" s="74"/>
      <c r="I175" s="74"/>
      <c r="J175" s="74"/>
      <c r="K175" s="17">
        <v>21</v>
      </c>
      <c r="L175" s="18">
        <f>K175-M175</f>
        <v>21</v>
      </c>
      <c r="M175" s="75">
        <f>S175+T175+Z175+AA175+AC175</f>
        <v>0</v>
      </c>
      <c r="N175" s="76"/>
      <c r="O175" s="19"/>
      <c r="P175" s="75"/>
      <c r="Q175" s="83"/>
      <c r="R175" s="17"/>
      <c r="S175" s="17"/>
      <c r="T175" s="77"/>
      <c r="U175" s="83"/>
      <c r="V175" s="84"/>
      <c r="W175" s="19"/>
      <c r="X175" s="19"/>
      <c r="Y175" s="19"/>
      <c r="Z175" s="19"/>
      <c r="AA175" s="77"/>
      <c r="AB175" s="84"/>
      <c r="AC175" s="19"/>
      <c r="AD175" s="89">
        <f>K175-M175</f>
        <v>21</v>
      </c>
      <c r="AE175" s="91"/>
      <c r="AF175" s="20"/>
      <c r="AG175" s="20"/>
      <c r="AH175" s="78"/>
      <c r="AI175" s="79"/>
      <c r="AK175" s="1">
        <v>1</v>
      </c>
    </row>
    <row r="176" spans="2:37" ht="16.35" customHeight="1">
      <c r="B176" s="73" t="s">
        <v>159</v>
      </c>
      <c r="C176" s="74"/>
      <c r="D176" s="74"/>
      <c r="E176" s="74"/>
      <c r="F176" s="74"/>
      <c r="G176" s="73">
        <v>1957</v>
      </c>
      <c r="H176" s="74"/>
      <c r="I176" s="74"/>
      <c r="J176" s="74"/>
      <c r="K176" s="17">
        <v>21</v>
      </c>
      <c r="L176" s="18">
        <f>K176-M176</f>
        <v>21</v>
      </c>
      <c r="M176" s="75">
        <f>S176+T176+Z176+AA176+AC176</f>
        <v>0</v>
      </c>
      <c r="N176" s="76"/>
      <c r="O176" s="19"/>
      <c r="P176" s="75"/>
      <c r="Q176" s="83"/>
      <c r="R176" s="17"/>
      <c r="S176" s="17"/>
      <c r="T176" s="77"/>
      <c r="U176" s="83"/>
      <c r="V176" s="84"/>
      <c r="W176" s="19"/>
      <c r="X176" s="19"/>
      <c r="Y176" s="19"/>
      <c r="Z176" s="19"/>
      <c r="AA176" s="77"/>
      <c r="AB176" s="84"/>
      <c r="AC176" s="19"/>
      <c r="AD176" s="89">
        <f>K176-M176</f>
        <v>21</v>
      </c>
      <c r="AE176" s="91"/>
      <c r="AF176" s="20"/>
      <c r="AG176" s="20"/>
      <c r="AH176" s="78"/>
      <c r="AI176" s="79"/>
      <c r="AK176" s="1">
        <v>1</v>
      </c>
    </row>
    <row r="177" spans="2:37" ht="24.95" customHeight="1">
      <c r="B177" s="73" t="s">
        <v>160</v>
      </c>
      <c r="C177" s="74"/>
      <c r="D177" s="74"/>
      <c r="E177" s="74"/>
      <c r="F177" s="74"/>
      <c r="G177" s="73">
        <v>1963</v>
      </c>
      <c r="H177" s="74"/>
      <c r="I177" s="74"/>
      <c r="J177" s="74"/>
      <c r="K177" s="17">
        <v>21</v>
      </c>
      <c r="L177" s="18">
        <f>K177-M177</f>
        <v>21</v>
      </c>
      <c r="M177" s="75">
        <f>S177+T177+Z177+AA177+AC177</f>
        <v>0</v>
      </c>
      <c r="N177" s="76"/>
      <c r="O177" s="19"/>
      <c r="P177" s="75"/>
      <c r="Q177" s="83"/>
      <c r="R177" s="17"/>
      <c r="S177" s="17"/>
      <c r="T177" s="77"/>
      <c r="U177" s="83"/>
      <c r="V177" s="84"/>
      <c r="W177" s="19"/>
      <c r="X177" s="19"/>
      <c r="Y177" s="19"/>
      <c r="Z177" s="19"/>
      <c r="AA177" s="77"/>
      <c r="AB177" s="84"/>
      <c r="AC177" s="19"/>
      <c r="AD177" s="89">
        <f>K177-M177</f>
        <v>21</v>
      </c>
      <c r="AE177" s="91"/>
      <c r="AF177" s="20"/>
      <c r="AG177" s="20"/>
      <c r="AH177" s="78"/>
      <c r="AI177" s="79"/>
      <c r="AK177" s="1">
        <v>1</v>
      </c>
    </row>
    <row r="178" spans="2:37" ht="24.95" customHeight="1">
      <c r="B178" s="73" t="s">
        <v>161</v>
      </c>
      <c r="C178" s="74"/>
      <c r="D178" s="74"/>
      <c r="E178" s="74"/>
      <c r="F178" s="74"/>
      <c r="G178" s="73">
        <v>1966</v>
      </c>
      <c r="H178" s="74"/>
      <c r="I178" s="74"/>
      <c r="J178" s="74"/>
      <c r="K178" s="17">
        <v>21</v>
      </c>
      <c r="L178" s="18">
        <f>K178-M178</f>
        <v>21</v>
      </c>
      <c r="M178" s="75">
        <f>S178+T178+Z178+AA178+AC178</f>
        <v>0</v>
      </c>
      <c r="N178" s="76"/>
      <c r="O178" s="19"/>
      <c r="P178" s="75"/>
      <c r="Q178" s="83"/>
      <c r="R178" s="17"/>
      <c r="S178" s="17"/>
      <c r="T178" s="77"/>
      <c r="U178" s="83"/>
      <c r="V178" s="84"/>
      <c r="W178" s="19"/>
      <c r="X178" s="19"/>
      <c r="Y178" s="19"/>
      <c r="Z178" s="19"/>
      <c r="AA178" s="77"/>
      <c r="AB178" s="84"/>
      <c r="AC178" s="19"/>
      <c r="AD178" s="89">
        <f>K178-M178</f>
        <v>21</v>
      </c>
      <c r="AE178" s="91"/>
      <c r="AF178" s="20"/>
      <c r="AG178" s="20"/>
      <c r="AH178" s="78"/>
      <c r="AI178" s="79"/>
      <c r="AK178" s="1">
        <v>1</v>
      </c>
    </row>
    <row r="179" spans="2:37" ht="16.35" customHeight="1">
      <c r="B179" s="73" t="s">
        <v>162</v>
      </c>
      <c r="C179" s="74"/>
      <c r="D179" s="74"/>
      <c r="E179" s="74"/>
      <c r="F179" s="74"/>
      <c r="G179" s="73">
        <v>1973</v>
      </c>
      <c r="H179" s="74"/>
      <c r="I179" s="74"/>
      <c r="J179" s="74"/>
      <c r="K179" s="17">
        <v>21</v>
      </c>
      <c r="L179" s="18">
        <f>K179-M179</f>
        <v>21</v>
      </c>
      <c r="M179" s="75">
        <f>S179+T179+Z179+AA179+AC179</f>
        <v>0</v>
      </c>
      <c r="N179" s="76"/>
      <c r="O179" s="19"/>
      <c r="P179" s="75"/>
      <c r="Q179" s="83"/>
      <c r="R179" s="17"/>
      <c r="S179" s="17"/>
      <c r="T179" s="77"/>
      <c r="U179" s="83"/>
      <c r="V179" s="84"/>
      <c r="W179" s="19"/>
      <c r="X179" s="19"/>
      <c r="Y179" s="19"/>
      <c r="Z179" s="19"/>
      <c r="AA179" s="77"/>
      <c r="AB179" s="84"/>
      <c r="AC179" s="19"/>
      <c r="AD179" s="89">
        <f>K179-M179</f>
        <v>21</v>
      </c>
      <c r="AE179" s="91"/>
      <c r="AF179" s="20"/>
      <c r="AG179" s="20"/>
      <c r="AH179" s="78"/>
      <c r="AI179" s="79"/>
      <c r="AK179" s="1">
        <v>1</v>
      </c>
    </row>
    <row r="180" spans="2:37" ht="16.35" customHeight="1">
      <c r="B180" s="80" t="s">
        <v>163</v>
      </c>
      <c r="C180" s="81"/>
      <c r="D180" s="81"/>
      <c r="E180" s="81"/>
      <c r="F180" s="81"/>
      <c r="G180" s="81"/>
      <c r="H180" s="81"/>
      <c r="I180" s="81"/>
      <c r="J180" s="82"/>
      <c r="K180" s="17">
        <f>SUM(K170:K179)</f>
        <v>210</v>
      </c>
      <c r="L180" s="18">
        <f>SUM(L170:L179)</f>
        <v>210</v>
      </c>
      <c r="M180" s="75"/>
      <c r="N180" s="83"/>
      <c r="O180" s="19"/>
      <c r="P180" s="75"/>
      <c r="Q180" s="83"/>
      <c r="R180" s="17"/>
      <c r="S180" s="17"/>
      <c r="T180" s="77"/>
      <c r="U180" s="83"/>
      <c r="V180" s="84"/>
      <c r="W180" s="19"/>
      <c r="X180" s="19"/>
      <c r="Y180" s="19"/>
      <c r="Z180" s="19"/>
      <c r="AA180" s="77"/>
      <c r="AB180" s="84"/>
      <c r="AC180" s="19"/>
      <c r="AD180" s="77">
        <f>SUM(AD170:AE179)</f>
        <v>210</v>
      </c>
      <c r="AE180" s="84"/>
      <c r="AF180" s="20"/>
      <c r="AG180" s="20"/>
      <c r="AH180" s="78"/>
      <c r="AI180" s="79"/>
    </row>
    <row r="181" spans="1:37" ht="16.35" customHeight="1">
      <c r="B181" s="94" t="s">
        <v>23</v>
      </c>
      <c r="C181" s="95"/>
      <c r="D181" s="95"/>
      <c r="E181" s="95"/>
      <c r="F181" s="95"/>
      <c r="G181" s="95"/>
      <c r="H181" s="95"/>
      <c r="I181" s="95"/>
      <c r="J181" s="95"/>
      <c r="K181" s="95"/>
      <c r="L181" s="96"/>
      <c r="M181" s="95"/>
      <c r="N181" s="95"/>
      <c r="O181" s="95"/>
      <c r="P181" s="95"/>
      <c r="Q181" s="95"/>
      <c r="R181" s="95"/>
      <c r="S181" s="95"/>
      <c r="T181" s="97"/>
      <c r="U181" s="97"/>
      <c r="V181" s="97"/>
      <c r="W181" s="95"/>
      <c r="X181" s="95"/>
      <c r="Y181" s="95"/>
      <c r="Z181" s="98"/>
      <c r="AA181" s="99"/>
      <c r="AB181" s="99"/>
      <c r="AC181" s="95"/>
      <c r="AD181" s="95"/>
      <c r="AE181" s="95"/>
      <c r="AF181" s="95"/>
      <c r="AG181" s="95"/>
      <c r="AH181" s="95"/>
      <c r="AI181" s="100"/>
    </row>
    <row r="182" spans="2:37" ht="24.95" customHeight="1">
      <c r="B182" s="73" t="s">
        <v>164</v>
      </c>
      <c r="C182" s="74"/>
      <c r="D182" s="74"/>
      <c r="E182" s="74"/>
      <c r="F182" s="74"/>
      <c r="G182" s="73">
        <v>1280</v>
      </c>
      <c r="H182" s="74"/>
      <c r="I182" s="74"/>
      <c r="J182" s="74"/>
      <c r="K182" s="17">
        <v>21</v>
      </c>
      <c r="L182" s="18">
        <f>K182-M182</f>
        <v>21</v>
      </c>
      <c r="M182" s="75">
        <f>S182+T182+Z182+AA182+AC182</f>
        <v>0</v>
      </c>
      <c r="N182" s="76"/>
      <c r="O182" s="19"/>
      <c r="P182" s="75"/>
      <c r="Q182" s="83"/>
      <c r="R182" s="17"/>
      <c r="S182" s="17"/>
      <c r="T182" s="77"/>
      <c r="U182" s="83"/>
      <c r="V182" s="84"/>
      <c r="W182" s="19"/>
      <c r="X182" s="19"/>
      <c r="Y182" s="19"/>
      <c r="Z182" s="19"/>
      <c r="AA182" s="77"/>
      <c r="AB182" s="84"/>
      <c r="AC182" s="19"/>
      <c r="AD182" s="89">
        <f>K182-M182</f>
        <v>21</v>
      </c>
      <c r="AE182" s="91"/>
      <c r="AF182" s="20"/>
      <c r="AG182" s="20"/>
      <c r="AH182" s="78"/>
      <c r="AI182" s="79"/>
      <c r="AK182" s="1">
        <v>1</v>
      </c>
    </row>
    <row r="183" spans="2:37" ht="16.35" customHeight="1">
      <c r="B183" s="80" t="s">
        <v>64</v>
      </c>
      <c r="C183" s="81"/>
      <c r="D183" s="81"/>
      <c r="E183" s="81"/>
      <c r="F183" s="81"/>
      <c r="G183" s="81"/>
      <c r="H183" s="81"/>
      <c r="I183" s="81"/>
      <c r="J183" s="82"/>
      <c r="K183" s="17">
        <f>SUM(K182:K182)</f>
        <v>21</v>
      </c>
      <c r="L183" s="18">
        <f>SUM(L182:L182)</f>
        <v>21</v>
      </c>
      <c r="M183" s="75"/>
      <c r="N183" s="83"/>
      <c r="O183" s="19"/>
      <c r="P183" s="75"/>
      <c r="Q183" s="83"/>
      <c r="R183" s="17"/>
      <c r="S183" s="17"/>
      <c r="T183" s="77"/>
      <c r="U183" s="83"/>
      <c r="V183" s="84"/>
      <c r="W183" s="19"/>
      <c r="X183" s="19"/>
      <c r="Y183" s="19"/>
      <c r="Z183" s="19"/>
      <c r="AA183" s="77"/>
      <c r="AB183" s="84"/>
      <c r="AC183" s="19"/>
      <c r="AD183" s="77">
        <f>SUM(AD182:AE182)</f>
        <v>21</v>
      </c>
      <c r="AE183" s="84"/>
      <c r="AF183" s="20"/>
      <c r="AG183" s="20"/>
      <c r="AH183" s="78"/>
      <c r="AI183" s="79"/>
    </row>
    <row r="184" spans="1:37" ht="16.35" customHeight="1">
      <c r="B184" s="94" t="s">
        <v>32</v>
      </c>
      <c r="C184" s="95"/>
      <c r="D184" s="95"/>
      <c r="E184" s="95"/>
      <c r="F184" s="95"/>
      <c r="G184" s="95"/>
      <c r="H184" s="95"/>
      <c r="I184" s="95"/>
      <c r="J184" s="95"/>
      <c r="K184" s="95"/>
      <c r="L184" s="96"/>
      <c r="M184" s="95"/>
      <c r="N184" s="95"/>
      <c r="O184" s="95"/>
      <c r="P184" s="95"/>
      <c r="Q184" s="95"/>
      <c r="R184" s="95"/>
      <c r="S184" s="95"/>
      <c r="T184" s="97"/>
      <c r="U184" s="97"/>
      <c r="V184" s="97"/>
      <c r="W184" s="95"/>
      <c r="X184" s="95"/>
      <c r="Y184" s="95"/>
      <c r="Z184" s="98"/>
      <c r="AA184" s="99"/>
      <c r="AB184" s="99"/>
      <c r="AC184" s="95"/>
      <c r="AD184" s="95"/>
      <c r="AE184" s="95"/>
      <c r="AF184" s="95"/>
      <c r="AG184" s="95"/>
      <c r="AH184" s="95"/>
      <c r="AI184" s="100"/>
    </row>
    <row r="185" spans="2:37" ht="16.35" customHeight="1">
      <c r="B185" s="73" t="s">
        <v>165</v>
      </c>
      <c r="C185" s="74"/>
      <c r="D185" s="74"/>
      <c r="E185" s="74"/>
      <c r="F185" s="74"/>
      <c r="G185" s="73">
        <v>1159</v>
      </c>
      <c r="H185" s="74"/>
      <c r="I185" s="74"/>
      <c r="J185" s="74"/>
      <c r="K185" s="17">
        <v>21</v>
      </c>
      <c r="L185" s="18">
        <f>K185-M185</f>
        <v>21</v>
      </c>
      <c r="M185" s="75">
        <f>S185+T185+Z185+AA185+AC185</f>
        <v>0</v>
      </c>
      <c r="N185" s="76"/>
      <c r="O185" s="19"/>
      <c r="P185" s="75"/>
      <c r="Q185" s="83"/>
      <c r="R185" s="17"/>
      <c r="S185" s="17"/>
      <c r="T185" s="77"/>
      <c r="U185" s="83"/>
      <c r="V185" s="84"/>
      <c r="W185" s="19"/>
      <c r="X185" s="19"/>
      <c r="Y185" s="19"/>
      <c r="Z185" s="19"/>
      <c r="AA185" s="77"/>
      <c r="AB185" s="84"/>
      <c r="AC185" s="19"/>
      <c r="AD185" s="89">
        <f>K185-M185</f>
        <v>21</v>
      </c>
      <c r="AE185" s="91"/>
      <c r="AF185" s="20"/>
      <c r="AG185" s="20"/>
      <c r="AH185" s="78"/>
      <c r="AI185" s="79"/>
      <c r="AK185" s="1">
        <v>1</v>
      </c>
    </row>
    <row r="186" spans="2:37" ht="16.35" customHeight="1">
      <c r="B186" s="80" t="s">
        <v>64</v>
      </c>
      <c r="C186" s="81"/>
      <c r="D186" s="81"/>
      <c r="E186" s="81"/>
      <c r="F186" s="81"/>
      <c r="G186" s="81"/>
      <c r="H186" s="81"/>
      <c r="I186" s="81"/>
      <c r="J186" s="82"/>
      <c r="K186" s="17">
        <f>SUM(K185:K185)</f>
        <v>21</v>
      </c>
      <c r="L186" s="18">
        <f>SUM(L185:L185)</f>
        <v>21</v>
      </c>
      <c r="M186" s="75"/>
      <c r="N186" s="83"/>
      <c r="O186" s="19"/>
      <c r="P186" s="75"/>
      <c r="Q186" s="83"/>
      <c r="R186" s="17"/>
      <c r="S186" s="17"/>
      <c r="T186" s="77"/>
      <c r="U186" s="83"/>
      <c r="V186" s="84"/>
      <c r="W186" s="19"/>
      <c r="X186" s="19"/>
      <c r="Y186" s="19"/>
      <c r="Z186" s="19"/>
      <c r="AA186" s="77"/>
      <c r="AB186" s="84"/>
      <c r="AC186" s="19"/>
      <c r="AD186" s="77">
        <f>SUM(AD185:AE185)</f>
        <v>21</v>
      </c>
      <c r="AE186" s="84"/>
      <c r="AF186" s="20"/>
      <c r="AG186" s="20"/>
      <c r="AH186" s="78"/>
      <c r="AI186" s="79"/>
    </row>
    <row r="187" spans="1:37" ht="16.35" customHeight="1">
      <c r="B187" s="94" t="s">
        <v>23</v>
      </c>
      <c r="C187" s="95"/>
      <c r="D187" s="95"/>
      <c r="E187" s="95"/>
      <c r="F187" s="95"/>
      <c r="G187" s="95"/>
      <c r="H187" s="95"/>
      <c r="I187" s="95"/>
      <c r="J187" s="95"/>
      <c r="K187" s="95"/>
      <c r="L187" s="96"/>
      <c r="M187" s="95"/>
      <c r="N187" s="95"/>
      <c r="O187" s="95"/>
      <c r="P187" s="95"/>
      <c r="Q187" s="95"/>
      <c r="R187" s="95"/>
      <c r="S187" s="95"/>
      <c r="T187" s="97"/>
      <c r="U187" s="97"/>
      <c r="V187" s="97"/>
      <c r="W187" s="95"/>
      <c r="X187" s="95"/>
      <c r="Y187" s="95"/>
      <c r="Z187" s="98"/>
      <c r="AA187" s="99"/>
      <c r="AB187" s="99"/>
      <c r="AC187" s="95"/>
      <c r="AD187" s="95"/>
      <c r="AE187" s="95"/>
      <c r="AF187" s="95"/>
      <c r="AG187" s="95"/>
      <c r="AH187" s="95"/>
      <c r="AI187" s="100"/>
    </row>
    <row r="188" spans="2:37" ht="16.35" customHeight="1">
      <c r="B188" s="73" t="s">
        <v>166</v>
      </c>
      <c r="C188" s="74"/>
      <c r="D188" s="74"/>
      <c r="E188" s="74"/>
      <c r="F188" s="74"/>
      <c r="G188" s="73">
        <v>2040</v>
      </c>
      <c r="H188" s="74"/>
      <c r="I188" s="74"/>
      <c r="J188" s="74"/>
      <c r="K188" s="17">
        <v>21</v>
      </c>
      <c r="L188" s="18">
        <f>K188-M188</f>
        <v>21</v>
      </c>
      <c r="M188" s="75">
        <f>S188+T188+Z188+AA188+AC188</f>
        <v>0</v>
      </c>
      <c r="N188" s="76"/>
      <c r="O188" s="19"/>
      <c r="P188" s="75"/>
      <c r="Q188" s="83"/>
      <c r="R188" s="17"/>
      <c r="S188" s="17"/>
      <c r="T188" s="77"/>
      <c r="U188" s="83"/>
      <c r="V188" s="84"/>
      <c r="W188" s="19"/>
      <c r="X188" s="19"/>
      <c r="Y188" s="19"/>
      <c r="Z188" s="19"/>
      <c r="AA188" s="77"/>
      <c r="AB188" s="84"/>
      <c r="AC188" s="19"/>
      <c r="AD188" s="89">
        <f>K188-M188</f>
        <v>21</v>
      </c>
      <c r="AE188" s="91"/>
      <c r="AF188" s="20"/>
      <c r="AG188" s="20"/>
      <c r="AH188" s="78"/>
      <c r="AI188" s="79"/>
      <c r="AK188" s="1">
        <v>1</v>
      </c>
    </row>
    <row r="189" spans="2:37" ht="24.95" customHeight="1">
      <c r="B189" s="73" t="s">
        <v>167</v>
      </c>
      <c r="C189" s="74"/>
      <c r="D189" s="74"/>
      <c r="E189" s="74"/>
      <c r="F189" s="74"/>
      <c r="G189" s="73">
        <v>2041</v>
      </c>
      <c r="H189" s="74"/>
      <c r="I189" s="74"/>
      <c r="J189" s="74"/>
      <c r="K189" s="17">
        <v>21</v>
      </c>
      <c r="L189" s="18">
        <f>K189-M189</f>
        <v>21</v>
      </c>
      <c r="M189" s="75">
        <f>S189+T189+Z189+AA189+AC189</f>
        <v>0</v>
      </c>
      <c r="N189" s="76"/>
      <c r="O189" s="19"/>
      <c r="P189" s="75"/>
      <c r="Q189" s="83"/>
      <c r="R189" s="17"/>
      <c r="S189" s="17"/>
      <c r="T189" s="77"/>
      <c r="U189" s="83"/>
      <c r="V189" s="84"/>
      <c r="W189" s="19"/>
      <c r="X189" s="19"/>
      <c r="Y189" s="19"/>
      <c r="Z189" s="19"/>
      <c r="AA189" s="77"/>
      <c r="AB189" s="84"/>
      <c r="AC189" s="19"/>
      <c r="AD189" s="89">
        <f>K189-M189</f>
        <v>21</v>
      </c>
      <c r="AE189" s="91"/>
      <c r="AF189" s="20"/>
      <c r="AG189" s="20"/>
      <c r="AH189" s="78"/>
      <c r="AI189" s="79"/>
      <c r="AK189" s="1">
        <v>1</v>
      </c>
    </row>
    <row r="190" spans="2:37" ht="24.95" customHeight="1">
      <c r="B190" s="73" t="s">
        <v>168</v>
      </c>
      <c r="C190" s="74"/>
      <c r="D190" s="74"/>
      <c r="E190" s="74"/>
      <c r="F190" s="74"/>
      <c r="G190" s="73">
        <v>2042</v>
      </c>
      <c r="H190" s="74"/>
      <c r="I190" s="74"/>
      <c r="J190" s="74"/>
      <c r="K190" s="17">
        <v>21</v>
      </c>
      <c r="L190" s="18">
        <f>K190-M190</f>
        <v>21</v>
      </c>
      <c r="M190" s="75">
        <f>S190+T190+Z190+AA190+AC190</f>
        <v>0</v>
      </c>
      <c r="N190" s="76"/>
      <c r="O190" s="19"/>
      <c r="P190" s="75"/>
      <c r="Q190" s="83"/>
      <c r="R190" s="17"/>
      <c r="S190" s="17"/>
      <c r="T190" s="77"/>
      <c r="U190" s="83"/>
      <c r="V190" s="84"/>
      <c r="W190" s="19"/>
      <c r="X190" s="19"/>
      <c r="Y190" s="19"/>
      <c r="Z190" s="19"/>
      <c r="AA190" s="77"/>
      <c r="AB190" s="84"/>
      <c r="AC190" s="19"/>
      <c r="AD190" s="89">
        <f>K190-M190</f>
        <v>21</v>
      </c>
      <c r="AE190" s="91"/>
      <c r="AF190" s="20"/>
      <c r="AG190" s="20"/>
      <c r="AH190" s="78"/>
      <c r="AI190" s="79"/>
      <c r="AK190" s="1">
        <v>1</v>
      </c>
    </row>
    <row r="191" spans="2:37" ht="24.95" customHeight="1">
      <c r="B191" s="73" t="s">
        <v>169</v>
      </c>
      <c r="C191" s="74"/>
      <c r="D191" s="74"/>
      <c r="E191" s="74"/>
      <c r="F191" s="74"/>
      <c r="G191" s="73">
        <v>2043</v>
      </c>
      <c r="H191" s="74"/>
      <c r="I191" s="74"/>
      <c r="J191" s="74"/>
      <c r="K191" s="17">
        <v>21</v>
      </c>
      <c r="L191" s="18">
        <f>K191-M191</f>
        <v>21</v>
      </c>
      <c r="M191" s="75">
        <f>S191+T191+Z191+AA191+AC191</f>
        <v>0</v>
      </c>
      <c r="N191" s="76"/>
      <c r="O191" s="19"/>
      <c r="P191" s="75"/>
      <c r="Q191" s="83"/>
      <c r="R191" s="17"/>
      <c r="S191" s="17"/>
      <c r="T191" s="77"/>
      <c r="U191" s="83"/>
      <c r="V191" s="84"/>
      <c r="W191" s="19"/>
      <c r="X191" s="19"/>
      <c r="Y191" s="19"/>
      <c r="Z191" s="19"/>
      <c r="AA191" s="77"/>
      <c r="AB191" s="84"/>
      <c r="AC191" s="19"/>
      <c r="AD191" s="89">
        <f>K191-M191</f>
        <v>21</v>
      </c>
      <c r="AE191" s="91"/>
      <c r="AF191" s="20"/>
      <c r="AG191" s="20"/>
      <c r="AH191" s="78"/>
      <c r="AI191" s="79"/>
      <c r="AK191" s="1">
        <v>1</v>
      </c>
    </row>
    <row r="192" spans="2:37" ht="24.95" customHeight="1">
      <c r="B192" s="73" t="s">
        <v>170</v>
      </c>
      <c r="C192" s="74"/>
      <c r="D192" s="74"/>
      <c r="E192" s="74"/>
      <c r="F192" s="74"/>
      <c r="G192" s="73">
        <v>2044</v>
      </c>
      <c r="H192" s="74"/>
      <c r="I192" s="74"/>
      <c r="J192" s="74"/>
      <c r="K192" s="17">
        <v>21</v>
      </c>
      <c r="L192" s="18">
        <f>K192-M192</f>
        <v>21</v>
      </c>
      <c r="M192" s="75">
        <f>S192+T192+Z192+AA192+AC192</f>
        <v>0</v>
      </c>
      <c r="N192" s="76"/>
      <c r="O192" s="19"/>
      <c r="P192" s="75"/>
      <c r="Q192" s="83"/>
      <c r="R192" s="17"/>
      <c r="S192" s="17"/>
      <c r="T192" s="77"/>
      <c r="U192" s="83"/>
      <c r="V192" s="84"/>
      <c r="W192" s="19"/>
      <c r="X192" s="19"/>
      <c r="Y192" s="19"/>
      <c r="Z192" s="19"/>
      <c r="AA192" s="77"/>
      <c r="AB192" s="84"/>
      <c r="AC192" s="19"/>
      <c r="AD192" s="89">
        <f>K192-M192</f>
        <v>21</v>
      </c>
      <c r="AE192" s="91"/>
      <c r="AF192" s="20"/>
      <c r="AG192" s="20"/>
      <c r="AH192" s="78"/>
      <c r="AI192" s="79"/>
      <c r="AK192" s="1">
        <v>1</v>
      </c>
    </row>
    <row r="193" spans="2:37" ht="16.35" customHeight="1">
      <c r="B193" s="73" t="s">
        <v>171</v>
      </c>
      <c r="C193" s="74"/>
      <c r="D193" s="74"/>
      <c r="E193" s="74"/>
      <c r="F193" s="74"/>
      <c r="G193" s="73">
        <v>2045</v>
      </c>
      <c r="H193" s="74"/>
      <c r="I193" s="74"/>
      <c r="J193" s="74"/>
      <c r="K193" s="17">
        <v>21</v>
      </c>
      <c r="L193" s="18">
        <f>K193-M193</f>
        <v>21</v>
      </c>
      <c r="M193" s="75">
        <f>S193+T193+Z193+AA193+AC193</f>
        <v>0</v>
      </c>
      <c r="N193" s="76"/>
      <c r="O193" s="19"/>
      <c r="P193" s="75"/>
      <c r="Q193" s="83"/>
      <c r="R193" s="17"/>
      <c r="S193" s="17"/>
      <c r="T193" s="77"/>
      <c r="U193" s="83"/>
      <c r="V193" s="84"/>
      <c r="W193" s="19"/>
      <c r="X193" s="19"/>
      <c r="Y193" s="19"/>
      <c r="Z193" s="19"/>
      <c r="AA193" s="77"/>
      <c r="AB193" s="84"/>
      <c r="AC193" s="19"/>
      <c r="AD193" s="89">
        <f>K193-M193</f>
        <v>21</v>
      </c>
      <c r="AE193" s="91"/>
      <c r="AF193" s="20"/>
      <c r="AG193" s="20"/>
      <c r="AH193" s="78"/>
      <c r="AI193" s="79"/>
      <c r="AK193" s="1">
        <v>1</v>
      </c>
    </row>
    <row r="194" spans="2:37" ht="16.35" customHeight="1">
      <c r="B194" s="73" t="s">
        <v>172</v>
      </c>
      <c r="C194" s="74"/>
      <c r="D194" s="74"/>
      <c r="E194" s="74"/>
      <c r="F194" s="74"/>
      <c r="G194" s="73">
        <v>2046</v>
      </c>
      <c r="H194" s="74"/>
      <c r="I194" s="74"/>
      <c r="J194" s="74"/>
      <c r="K194" s="17">
        <v>21</v>
      </c>
      <c r="L194" s="18">
        <f>K194-M194</f>
        <v>21</v>
      </c>
      <c r="M194" s="75">
        <f>S194+T194+Z194+AA194+AC194</f>
        <v>0</v>
      </c>
      <c r="N194" s="76"/>
      <c r="O194" s="19"/>
      <c r="P194" s="75"/>
      <c r="Q194" s="83"/>
      <c r="R194" s="17"/>
      <c r="S194" s="17"/>
      <c r="T194" s="77"/>
      <c r="U194" s="83"/>
      <c r="V194" s="84"/>
      <c r="W194" s="19"/>
      <c r="X194" s="19"/>
      <c r="Y194" s="19"/>
      <c r="Z194" s="19"/>
      <c r="AA194" s="77"/>
      <c r="AB194" s="84"/>
      <c r="AC194" s="19"/>
      <c r="AD194" s="89">
        <f>K194-M194</f>
        <v>21</v>
      </c>
      <c r="AE194" s="91"/>
      <c r="AF194" s="20"/>
      <c r="AG194" s="20"/>
      <c r="AH194" s="78"/>
      <c r="AI194" s="79"/>
      <c r="AK194" s="1">
        <v>1</v>
      </c>
    </row>
    <row r="195" spans="2:37" ht="16.35" customHeight="1">
      <c r="B195" s="73" t="s">
        <v>173</v>
      </c>
      <c r="C195" s="74"/>
      <c r="D195" s="74"/>
      <c r="E195" s="74"/>
      <c r="F195" s="74"/>
      <c r="G195" s="73">
        <v>586</v>
      </c>
      <c r="H195" s="74"/>
      <c r="I195" s="74"/>
      <c r="J195" s="74"/>
      <c r="K195" s="17">
        <v>21</v>
      </c>
      <c r="L195" s="18">
        <f>K195-M195</f>
        <v>21</v>
      </c>
      <c r="M195" s="75">
        <f>S195+T195+Z195+AA195+AC195</f>
        <v>0</v>
      </c>
      <c r="N195" s="76"/>
      <c r="O195" s="19"/>
      <c r="P195" s="75"/>
      <c r="Q195" s="83"/>
      <c r="R195" s="17"/>
      <c r="S195" s="17"/>
      <c r="T195" s="77"/>
      <c r="U195" s="83"/>
      <c r="V195" s="84"/>
      <c r="W195" s="19"/>
      <c r="X195" s="19"/>
      <c r="Y195" s="19"/>
      <c r="Z195" s="19"/>
      <c r="AA195" s="77"/>
      <c r="AB195" s="84"/>
      <c r="AC195" s="19"/>
      <c r="AD195" s="89">
        <f>K195-M195</f>
        <v>21</v>
      </c>
      <c r="AE195" s="91"/>
      <c r="AF195" s="20"/>
      <c r="AG195" s="20"/>
      <c r="AH195" s="78"/>
      <c r="AI195" s="79"/>
      <c r="AK195" s="1">
        <v>1</v>
      </c>
    </row>
    <row r="196" spans="2:37" ht="16.35" customHeight="1">
      <c r="B196" s="80" t="s">
        <v>73</v>
      </c>
      <c r="C196" s="81"/>
      <c r="D196" s="81"/>
      <c r="E196" s="81"/>
      <c r="F196" s="81"/>
      <c r="G196" s="81"/>
      <c r="H196" s="81"/>
      <c r="I196" s="81"/>
      <c r="J196" s="82"/>
      <c r="K196" s="17">
        <f>SUM(K188:K195)</f>
        <v>168</v>
      </c>
      <c r="L196" s="18">
        <f>SUM(L188:L195)</f>
        <v>168</v>
      </c>
      <c r="M196" s="75"/>
      <c r="N196" s="83"/>
      <c r="O196" s="19"/>
      <c r="P196" s="75"/>
      <c r="Q196" s="83"/>
      <c r="R196" s="17"/>
      <c r="S196" s="17"/>
      <c r="T196" s="77"/>
      <c r="U196" s="83"/>
      <c r="V196" s="84"/>
      <c r="W196" s="19"/>
      <c r="X196" s="19"/>
      <c r="Y196" s="19"/>
      <c r="Z196" s="19"/>
      <c r="AA196" s="77"/>
      <c r="AB196" s="84"/>
      <c r="AC196" s="19"/>
      <c r="AD196" s="77">
        <f>SUM(AD188:AE195)</f>
        <v>168</v>
      </c>
      <c r="AE196" s="84"/>
      <c r="AF196" s="20"/>
      <c r="AG196" s="20"/>
      <c r="AH196" s="78"/>
      <c r="AI196" s="79"/>
    </row>
    <row r="197" spans="2:38" ht="16.35" customHeight="1">
      <c r="B197" s="80" t="s">
        <v>174</v>
      </c>
      <c r="C197" s="81"/>
      <c r="D197" s="81"/>
      <c r="E197" s="81"/>
      <c r="F197" s="81"/>
      <c r="G197" s="81"/>
      <c r="H197" s="81"/>
      <c r="I197" s="81"/>
      <c r="J197" s="82"/>
      <c r="K197" s="17">
        <f>SUM(K20,K46,K50,K54,K57,K67,K71,K82,K85,K91,K96,K105,K108,K119,K122,K131,K134,K138,K148,K168,K180,K183,K186,K196)</f>
        <v>2856</v>
      </c>
      <c r="L197" s="18">
        <f>SUM(L20,L46,L50,L54,L57,L67,L71,L82,L85,L91,L96,L105,L108,L119,L122,L131,L134,L138,L148,L168,L180,L183,L186,L196)</f>
        <v>2856</v>
      </c>
      <c r="M197" s="75"/>
      <c r="N197" s="83"/>
      <c r="O197" s="19"/>
      <c r="P197" s="75"/>
      <c r="Q197" s="83"/>
      <c r="R197" s="17"/>
      <c r="S197" s="17"/>
      <c r="T197" s="77"/>
      <c r="U197" s="83"/>
      <c r="V197" s="84"/>
      <c r="W197" s="19"/>
      <c r="X197" s="19"/>
      <c r="Y197" s="19"/>
      <c r="Z197" s="19"/>
      <c r="AA197" s="77"/>
      <c r="AB197" s="84"/>
      <c r="AC197" s="19"/>
      <c r="AD197" s="77">
        <f>SUM(AD20,AD46,AD50,AD54,AD57,AD67,AD71,AD82,AD85,AD91,AD96,AD105,AD108,AD119,AD122,AD131,AD134,AD138,AD148,AD168,AD180,AD183,AD186,AD196)</f>
        <v>2856</v>
      </c>
      <c r="AE197" s="84"/>
      <c r="AF197" s="19"/>
      <c r="AG197" s="19"/>
      <c r="AH197" s="77"/>
      <c r="AI197" s="84"/>
      <c r="AK197" s="1">
        <f>SUM(AK13:AK196)</f>
        <v>136</v>
      </c>
    </row>
    <row r="198" spans="2:38" ht="0.75" customHeight="1">
      <c r="L198" s="43"/>
    </row>
    <row r="199" spans="2:38" ht="2.25" customHeight="1">
      <c r="L199" s="43"/>
    </row>
    <row r="200" spans="2:38" ht="10.7" customHeight="1">
      <c r="C200" s="56" t="s">
        <v>175</v>
      </c>
      <c r="E200" s="56" t="s">
        <v>176</v>
      </c>
      <c r="F200" s="54"/>
      <c r="G200" s="54"/>
      <c r="H200" s="54"/>
      <c r="J200" s="53" t="s">
        <v>177</v>
      </c>
      <c r="K200" s="54"/>
      <c r="L200" s="55"/>
      <c r="M200" s="54"/>
      <c r="AE200" s="61" t="s">
        <v>178</v>
      </c>
      <c r="AF200" s="62"/>
      <c r="AG200" s="62"/>
      <c r="AH200" s="62"/>
    </row>
    <row r="201" spans="2:38" ht="3" customHeight="1">
      <c r="C201" s="54"/>
      <c r="E201" s="54"/>
      <c r="F201" s="54"/>
      <c r="G201" s="54"/>
      <c r="H201" s="54"/>
      <c r="L201" s="43"/>
      <c r="AE201" s="62"/>
      <c r="AF201" s="62"/>
      <c r="AG201" s="62"/>
      <c r="AH201" s="62"/>
    </row>
    <row r="203" spans="2:38" ht="15">
      <c r="L203" s="43"/>
      <c r="S203" s="39"/>
      <c r="T203" s="39"/>
      <c r="U203" s="39"/>
      <c r="V203" s="39"/>
      <c r="W203" s="39"/>
      <c r="X203" s="39"/>
      <c r="Y203" s="40"/>
      <c r="Z203" s="41" t="s">
        <v>179</v>
      </c>
      <c r="AA203" s="39"/>
      <c r="AB203" s="39"/>
      <c r="AC203" s="39"/>
    </row>
    <row r="204" spans="2:38" ht="15">
      <c r="L204" s="43"/>
      <c r="S204" s="39"/>
      <c r="T204" s="39"/>
      <c r="U204" s="39"/>
      <c r="V204" s="39"/>
      <c r="W204" s="39"/>
      <c r="X204" s="39"/>
      <c r="Y204" s="40"/>
      <c r="Z204" s="41" t="s">
        <v>180</v>
      </c>
      <c r="AA204" s="39"/>
      <c r="AB204" s="39"/>
      <c r="AC204" s="39"/>
    </row>
    <row r="205" spans="2:38" ht="15">
      <c r="L205" s="43"/>
      <c r="S205" s="39"/>
      <c r="T205" s="39"/>
      <c r="U205" s="39"/>
      <c r="V205" s="39"/>
      <c r="W205" s="39"/>
      <c r="X205" s="39"/>
      <c r="Y205" s="39"/>
      <c r="Z205" s="41"/>
      <c r="AA205" s="39"/>
      <c r="AB205" s="39"/>
      <c r="AC205" s="39"/>
    </row>
    <row r="206" spans="2:38" ht="15">
      <c r="L206" s="43"/>
      <c r="S206" s="39"/>
      <c r="T206" s="39"/>
      <c r="U206" s="39"/>
      <c r="V206" s="39"/>
      <c r="W206" s="39"/>
      <c r="X206" s="39"/>
      <c r="Y206" s="39"/>
      <c r="Z206" s="41"/>
      <c r="AA206" s="39"/>
      <c r="AB206" s="39"/>
      <c r="AC206" s="39"/>
    </row>
    <row r="207" spans="19:29" ht="15">
      <c r="S207" s="39"/>
      <c r="T207" s="39"/>
      <c r="U207" s="39"/>
      <c r="V207" s="39"/>
      <c r="W207" s="39"/>
      <c r="X207" s="39"/>
      <c r="Y207" s="39"/>
      <c r="Z207" s="41"/>
      <c r="AA207" s="39"/>
      <c r="AB207" s="39"/>
      <c r="AC207" s="39"/>
    </row>
    <row r="208" spans="19:29" ht="15">
      <c r="S208" s="39"/>
      <c r="T208" s="39"/>
      <c r="U208" s="39"/>
      <c r="V208" s="39"/>
      <c r="W208" s="39"/>
      <c r="X208" s="39"/>
      <c r="Y208" s="39"/>
      <c r="Z208" s="42"/>
      <c r="AA208" s="39"/>
      <c r="AB208" s="39"/>
      <c r="AC208" s="39"/>
    </row>
    <row r="209" spans="19:29" ht="15">
      <c r="S209" s="39"/>
      <c r="T209" s="39"/>
      <c r="U209" s="39"/>
      <c r="V209" s="39"/>
      <c r="W209" s="39"/>
      <c r="X209" s="39"/>
      <c r="Y209" s="40"/>
      <c r="Z209" s="41" t="s">
        <v>181</v>
      </c>
      <c r="AA209" s="39"/>
      <c r="AB209" s="39"/>
      <c r="AC209" s="39"/>
    </row>
    <row r="210" spans="19:29" ht="15">
      <c r="S210" s="39"/>
      <c r="T210" s="39"/>
      <c r="U210" s="39"/>
      <c r="V210" s="39"/>
      <c r="W210" s="39"/>
      <c r="X210" s="39"/>
      <c r="Y210" s="40"/>
      <c r="Z210" s="41" t="s">
        <v>182</v>
      </c>
      <c r="AA210" s="39"/>
      <c r="AB210" s="39"/>
      <c r="AC210" s="39"/>
    </row>
  </sheetData>
  <mergeCells count="1308">
    <mergeCell ref="M10:N10"/>
    <mergeCell ref="P10:Q10"/>
    <mergeCell ref="T10:V10"/>
    <mergeCell ref="AA10:AB10"/>
    <mergeCell ref="AD10:AE10"/>
    <mergeCell ref="M11:N11"/>
    <mergeCell ref="P11:Q11"/>
    <mergeCell ref="T11:V11"/>
    <mergeCell ref="AA11:AB11"/>
    <mergeCell ref="AD11:AE11"/>
    <mergeCell ref="B10:E11"/>
    <mergeCell ref="F10:J11"/>
    <mergeCell ref="AH10:AI11"/>
    <mergeCell ref="B12:AI12"/>
    <mergeCell ref="B13:F13"/>
    <mergeCell ref="G13:J13"/>
    <mergeCell ref="M13:N13"/>
    <mergeCell ref="P13:Q13"/>
    <mergeCell ref="T13:V13"/>
    <mergeCell ref="AA13:AB13"/>
    <mergeCell ref="AD13:AE13"/>
    <mergeCell ref="AH13:AI13"/>
    <mergeCell ref="B14:F14"/>
    <mergeCell ref="G14:J14"/>
    <mergeCell ref="M14:N14"/>
    <mergeCell ref="P14:Q14"/>
    <mergeCell ref="T14:V14"/>
    <mergeCell ref="AA14:AB14"/>
    <mergeCell ref="AD14:AE14"/>
    <mergeCell ref="AH14:AI14"/>
    <mergeCell ref="B15:F15"/>
    <mergeCell ref="G15:J15"/>
    <mergeCell ref="M15:N15"/>
    <mergeCell ref="P15:Q15"/>
    <mergeCell ref="T15:V15"/>
    <mergeCell ref="AA15:AB15"/>
    <mergeCell ref="AD15:AE15"/>
    <mergeCell ref="AH15:AI15"/>
    <mergeCell ref="B16:F16"/>
    <mergeCell ref="G16:J16"/>
    <mergeCell ref="M16:N16"/>
    <mergeCell ref="P16:Q16"/>
    <mergeCell ref="T16:V16"/>
    <mergeCell ref="AA16:AB16"/>
    <mergeCell ref="AD16:AE16"/>
    <mergeCell ref="AH16:AI16"/>
    <mergeCell ref="B17:F17"/>
    <mergeCell ref="G17:J17"/>
    <mergeCell ref="M17:N17"/>
    <mergeCell ref="P17:Q17"/>
    <mergeCell ref="T17:V17"/>
    <mergeCell ref="AA17:AB17"/>
    <mergeCell ref="AD17:AE17"/>
    <mergeCell ref="AH17:AI17"/>
    <mergeCell ref="B18:F18"/>
    <mergeCell ref="G18:J18"/>
    <mergeCell ref="M18:N18"/>
    <mergeCell ref="P18:Q18"/>
    <mergeCell ref="T18:V18"/>
    <mergeCell ref="AA18:AB18"/>
    <mergeCell ref="AD18:AE18"/>
    <mergeCell ref="AH18:AI18"/>
    <mergeCell ref="B19:F19"/>
    <mergeCell ref="G19:J19"/>
    <mergeCell ref="M19:N19"/>
    <mergeCell ref="P19:Q19"/>
    <mergeCell ref="T19:V19"/>
    <mergeCell ref="AA19:AB19"/>
    <mergeCell ref="AD19:AE19"/>
    <mergeCell ref="AH19:AI19"/>
    <mergeCell ref="B20:J20"/>
    <mergeCell ref="M20:N20"/>
    <mergeCell ref="P20:Q20"/>
    <mergeCell ref="T20:V20"/>
    <mergeCell ref="AA20:AB20"/>
    <mergeCell ref="AD20:AE20"/>
    <mergeCell ref="AH20:AI20"/>
    <mergeCell ref="B21:AI21"/>
    <mergeCell ref="B22:F22"/>
    <mergeCell ref="G22:J22"/>
    <mergeCell ref="M22:N22"/>
    <mergeCell ref="P22:Q22"/>
    <mergeCell ref="T22:V22"/>
    <mergeCell ref="AA22:AB22"/>
    <mergeCell ref="AD22:AE22"/>
    <mergeCell ref="AH22:AI22"/>
    <mergeCell ref="B23:F23"/>
    <mergeCell ref="G23:J23"/>
    <mergeCell ref="M23:N23"/>
    <mergeCell ref="P23:Q23"/>
    <mergeCell ref="T23:V23"/>
    <mergeCell ref="AA23:AB23"/>
    <mergeCell ref="AD23:AE23"/>
    <mergeCell ref="AH23:AI23"/>
    <mergeCell ref="B24:F24"/>
    <mergeCell ref="G24:J24"/>
    <mergeCell ref="M24:N24"/>
    <mergeCell ref="P24:Q24"/>
    <mergeCell ref="T24:V24"/>
    <mergeCell ref="AA24:AB24"/>
    <mergeCell ref="AD24:AE24"/>
    <mergeCell ref="AH24:AI24"/>
    <mergeCell ref="B25:F25"/>
    <mergeCell ref="G25:J25"/>
    <mergeCell ref="M25:N25"/>
    <mergeCell ref="P25:Q25"/>
    <mergeCell ref="T25:V25"/>
    <mergeCell ref="AA25:AB25"/>
    <mergeCell ref="AD25:AE25"/>
    <mergeCell ref="AH25:AI25"/>
    <mergeCell ref="B26:F26"/>
    <mergeCell ref="G26:J26"/>
    <mergeCell ref="M26:N26"/>
    <mergeCell ref="P26:Q26"/>
    <mergeCell ref="T26:V26"/>
    <mergeCell ref="AA26:AB26"/>
    <mergeCell ref="AD26:AE26"/>
    <mergeCell ref="AH26:AI26"/>
    <mergeCell ref="B27:F27"/>
    <mergeCell ref="G27:J27"/>
    <mergeCell ref="M27:N27"/>
    <mergeCell ref="P27:Q27"/>
    <mergeCell ref="T27:V27"/>
    <mergeCell ref="AA27:AB27"/>
    <mergeCell ref="AD27:AE27"/>
    <mergeCell ref="AH27:AI27"/>
    <mergeCell ref="B28:F28"/>
    <mergeCell ref="G28:J28"/>
    <mergeCell ref="M28:N28"/>
    <mergeCell ref="P28:Q28"/>
    <mergeCell ref="T28:V28"/>
    <mergeCell ref="AA28:AB28"/>
    <mergeCell ref="AD28:AE28"/>
    <mergeCell ref="AH28:AI28"/>
    <mergeCell ref="B29:F29"/>
    <mergeCell ref="G29:J29"/>
    <mergeCell ref="M29:N29"/>
    <mergeCell ref="P29:Q29"/>
    <mergeCell ref="T29:V29"/>
    <mergeCell ref="AA29:AB29"/>
    <mergeCell ref="AD29:AE29"/>
    <mergeCell ref="AH29:AI29"/>
    <mergeCell ref="B30:F30"/>
    <mergeCell ref="G30:J30"/>
    <mergeCell ref="M30:N30"/>
    <mergeCell ref="P30:Q30"/>
    <mergeCell ref="T30:V30"/>
    <mergeCell ref="AA30:AB30"/>
    <mergeCell ref="AD30:AE30"/>
    <mergeCell ref="AH30:AI30"/>
    <mergeCell ref="B31:F31"/>
    <mergeCell ref="G31:J31"/>
    <mergeCell ref="M31:N31"/>
    <mergeCell ref="P31:Q31"/>
    <mergeCell ref="T31:V31"/>
    <mergeCell ref="AA31:AB31"/>
    <mergeCell ref="AD31:AE31"/>
    <mergeCell ref="AH31:AI31"/>
    <mergeCell ref="B32:F32"/>
    <mergeCell ref="G32:J32"/>
    <mergeCell ref="M32:N32"/>
    <mergeCell ref="P32:Q32"/>
    <mergeCell ref="T32:V32"/>
    <mergeCell ref="AA32:AB32"/>
    <mergeCell ref="AD32:AE32"/>
    <mergeCell ref="AH32:AI32"/>
    <mergeCell ref="B33:F33"/>
    <mergeCell ref="G33:J33"/>
    <mergeCell ref="M33:N33"/>
    <mergeCell ref="P33:Q33"/>
    <mergeCell ref="T33:V33"/>
    <mergeCell ref="AA33:AB33"/>
    <mergeCell ref="AD33:AE33"/>
    <mergeCell ref="AH33:AI33"/>
    <mergeCell ref="B34:F34"/>
    <mergeCell ref="G34:J34"/>
    <mergeCell ref="M34:N34"/>
    <mergeCell ref="P34:Q34"/>
    <mergeCell ref="T34:V34"/>
    <mergeCell ref="AA34:AB34"/>
    <mergeCell ref="AD34:AE34"/>
    <mergeCell ref="AH34:AI34"/>
    <mergeCell ref="B35:F35"/>
    <mergeCell ref="G35:J35"/>
    <mergeCell ref="M35:N35"/>
    <mergeCell ref="P35:Q35"/>
    <mergeCell ref="T35:V35"/>
    <mergeCell ref="AA35:AB35"/>
    <mergeCell ref="AD35:AE35"/>
    <mergeCell ref="AH35:AI35"/>
    <mergeCell ref="B36:F36"/>
    <mergeCell ref="G36:J36"/>
    <mergeCell ref="M36:N36"/>
    <mergeCell ref="P36:Q36"/>
    <mergeCell ref="T36:V36"/>
    <mergeCell ref="AA36:AB36"/>
    <mergeCell ref="AD36:AE36"/>
    <mergeCell ref="AH36:AI36"/>
    <mergeCell ref="B37:F37"/>
    <mergeCell ref="G37:J37"/>
    <mergeCell ref="M37:N37"/>
    <mergeCell ref="P37:Q37"/>
    <mergeCell ref="T37:V37"/>
    <mergeCell ref="AA37:AB37"/>
    <mergeCell ref="AD37:AE37"/>
    <mergeCell ref="AH37:AI37"/>
    <mergeCell ref="B38:F38"/>
    <mergeCell ref="G38:J38"/>
    <mergeCell ref="M38:N38"/>
    <mergeCell ref="P38:Q38"/>
    <mergeCell ref="T38:V38"/>
    <mergeCell ref="AA38:AB38"/>
    <mergeCell ref="AD38:AE38"/>
    <mergeCell ref="AH38:AI38"/>
    <mergeCell ref="B39:F39"/>
    <mergeCell ref="G39:J39"/>
    <mergeCell ref="M39:N39"/>
    <mergeCell ref="P39:Q39"/>
    <mergeCell ref="T39:V39"/>
    <mergeCell ref="AA39:AB39"/>
    <mergeCell ref="AD39:AE39"/>
    <mergeCell ref="AH39:AI39"/>
    <mergeCell ref="B40:F40"/>
    <mergeCell ref="G40:J40"/>
    <mergeCell ref="M40:N40"/>
    <mergeCell ref="P40:Q40"/>
    <mergeCell ref="T40:V40"/>
    <mergeCell ref="AA40:AB40"/>
    <mergeCell ref="AD40:AE40"/>
    <mergeCell ref="AH40:AI40"/>
    <mergeCell ref="B41:F41"/>
    <mergeCell ref="G41:J41"/>
    <mergeCell ref="M41:N41"/>
    <mergeCell ref="P41:Q41"/>
    <mergeCell ref="T41:V41"/>
    <mergeCell ref="AA41:AB41"/>
    <mergeCell ref="AD41:AE41"/>
    <mergeCell ref="AH41:AI41"/>
    <mergeCell ref="B42:F42"/>
    <mergeCell ref="G42:J42"/>
    <mergeCell ref="M42:N42"/>
    <mergeCell ref="P42:Q42"/>
    <mergeCell ref="T42:V42"/>
    <mergeCell ref="AA42:AB42"/>
    <mergeCell ref="AD42:AE42"/>
    <mergeCell ref="AH42:AI42"/>
    <mergeCell ref="B43:F43"/>
    <mergeCell ref="G43:J43"/>
    <mergeCell ref="M43:N43"/>
    <mergeCell ref="P43:Q43"/>
    <mergeCell ref="T43:V43"/>
    <mergeCell ref="AA43:AB43"/>
    <mergeCell ref="AD43:AE43"/>
    <mergeCell ref="AH43:AI43"/>
    <mergeCell ref="B44:F44"/>
    <mergeCell ref="G44:J44"/>
    <mergeCell ref="M44:N44"/>
    <mergeCell ref="P44:Q44"/>
    <mergeCell ref="T44:V44"/>
    <mergeCell ref="AA44:AB44"/>
    <mergeCell ref="AD44:AE44"/>
    <mergeCell ref="AH44:AI44"/>
    <mergeCell ref="B45:F45"/>
    <mergeCell ref="G45:J45"/>
    <mergeCell ref="M45:N45"/>
    <mergeCell ref="P45:Q45"/>
    <mergeCell ref="T45:V45"/>
    <mergeCell ref="AA45:AB45"/>
    <mergeCell ref="AD45:AE45"/>
    <mergeCell ref="AH45:AI45"/>
    <mergeCell ref="B46:J46"/>
    <mergeCell ref="M46:N46"/>
    <mergeCell ref="P46:Q46"/>
    <mergeCell ref="T46:V46"/>
    <mergeCell ref="AA46:AB46"/>
    <mergeCell ref="AD46:AE46"/>
    <mergeCell ref="AH46:AI46"/>
    <mergeCell ref="B47:AI47"/>
    <mergeCell ref="B48:F48"/>
    <mergeCell ref="G48:J48"/>
    <mergeCell ref="M48:N48"/>
    <mergeCell ref="P48:Q48"/>
    <mergeCell ref="T48:V48"/>
    <mergeCell ref="AA48:AB48"/>
    <mergeCell ref="AD48:AE48"/>
    <mergeCell ref="AH48:AI48"/>
    <mergeCell ref="B49:F49"/>
    <mergeCell ref="G49:J49"/>
    <mergeCell ref="M49:N49"/>
    <mergeCell ref="P49:Q49"/>
    <mergeCell ref="T49:V49"/>
    <mergeCell ref="AA49:AB49"/>
    <mergeCell ref="AD49:AE49"/>
    <mergeCell ref="AH49:AI49"/>
    <mergeCell ref="B50:J50"/>
    <mergeCell ref="M50:N50"/>
    <mergeCell ref="P50:Q50"/>
    <mergeCell ref="T50:V50"/>
    <mergeCell ref="AA50:AB50"/>
    <mergeCell ref="AD50:AE50"/>
    <mergeCell ref="AH50:AI50"/>
    <mergeCell ref="B51:AI51"/>
    <mergeCell ref="B52:F52"/>
    <mergeCell ref="G52:J52"/>
    <mergeCell ref="M52:N52"/>
    <mergeCell ref="P52:Q52"/>
    <mergeCell ref="T52:V52"/>
    <mergeCell ref="AA52:AB52"/>
    <mergeCell ref="AD52:AE52"/>
    <mergeCell ref="AH52:AI52"/>
    <mergeCell ref="B53:F53"/>
    <mergeCell ref="G53:J53"/>
    <mergeCell ref="M53:N53"/>
    <mergeCell ref="P53:Q53"/>
    <mergeCell ref="T53:V53"/>
    <mergeCell ref="AA53:AB53"/>
    <mergeCell ref="AD53:AE53"/>
    <mergeCell ref="AH53:AI53"/>
    <mergeCell ref="B54:J54"/>
    <mergeCell ref="M54:N54"/>
    <mergeCell ref="P54:Q54"/>
    <mergeCell ref="T54:V54"/>
    <mergeCell ref="AA54:AB54"/>
    <mergeCell ref="AD54:AE54"/>
    <mergeCell ref="AH54:AI54"/>
    <mergeCell ref="B55:AI55"/>
    <mergeCell ref="B56:F56"/>
    <mergeCell ref="G56:J56"/>
    <mergeCell ref="M56:N56"/>
    <mergeCell ref="P56:Q56"/>
    <mergeCell ref="T56:V56"/>
    <mergeCell ref="AA56:AB56"/>
    <mergeCell ref="AD56:AE56"/>
    <mergeCell ref="AH56:AI56"/>
    <mergeCell ref="B57:J57"/>
    <mergeCell ref="M57:N57"/>
    <mergeCell ref="P57:Q57"/>
    <mergeCell ref="T57:V57"/>
    <mergeCell ref="AA57:AB57"/>
    <mergeCell ref="AD57:AE57"/>
    <mergeCell ref="AH57:AI57"/>
    <mergeCell ref="B58:AI58"/>
    <mergeCell ref="B59:F59"/>
    <mergeCell ref="G59:J59"/>
    <mergeCell ref="M59:N59"/>
    <mergeCell ref="P59:Q59"/>
    <mergeCell ref="T59:V59"/>
    <mergeCell ref="AA59:AB59"/>
    <mergeCell ref="AD59:AE59"/>
    <mergeCell ref="AH59:AI59"/>
    <mergeCell ref="B60:F60"/>
    <mergeCell ref="G60:J60"/>
    <mergeCell ref="M60:N60"/>
    <mergeCell ref="P60:Q60"/>
    <mergeCell ref="T60:V60"/>
    <mergeCell ref="AA60:AB60"/>
    <mergeCell ref="AD60:AE60"/>
    <mergeCell ref="AH60:AI60"/>
    <mergeCell ref="B61:F61"/>
    <mergeCell ref="G61:J61"/>
    <mergeCell ref="M61:N61"/>
    <mergeCell ref="P61:Q61"/>
    <mergeCell ref="T61:V61"/>
    <mergeCell ref="AA61:AB61"/>
    <mergeCell ref="AD61:AE61"/>
    <mergeCell ref="AH61:AI61"/>
    <mergeCell ref="B62:F62"/>
    <mergeCell ref="G62:J62"/>
    <mergeCell ref="M62:N62"/>
    <mergeCell ref="P62:Q62"/>
    <mergeCell ref="T62:V62"/>
    <mergeCell ref="AA62:AB62"/>
    <mergeCell ref="AD62:AE62"/>
    <mergeCell ref="AH62:AI62"/>
    <mergeCell ref="B63:F63"/>
    <mergeCell ref="G63:J63"/>
    <mergeCell ref="M63:N63"/>
    <mergeCell ref="P63:Q63"/>
    <mergeCell ref="T63:V63"/>
    <mergeCell ref="AA63:AB63"/>
    <mergeCell ref="AD63:AE63"/>
    <mergeCell ref="AH63:AI63"/>
    <mergeCell ref="B64:F64"/>
    <mergeCell ref="G64:J64"/>
    <mergeCell ref="M64:N64"/>
    <mergeCell ref="P64:Q64"/>
    <mergeCell ref="T64:V64"/>
    <mergeCell ref="AA64:AB64"/>
    <mergeCell ref="AD64:AE64"/>
    <mergeCell ref="AH64:AI64"/>
    <mergeCell ref="B65:F65"/>
    <mergeCell ref="G65:J65"/>
    <mergeCell ref="M65:N65"/>
    <mergeCell ref="P65:Q65"/>
    <mergeCell ref="T65:V65"/>
    <mergeCell ref="AA65:AB65"/>
    <mergeCell ref="AD65:AE65"/>
    <mergeCell ref="AH65:AI65"/>
    <mergeCell ref="B66:F66"/>
    <mergeCell ref="G66:J66"/>
    <mergeCell ref="M66:N66"/>
    <mergeCell ref="P66:Q66"/>
    <mergeCell ref="T66:V66"/>
    <mergeCell ref="AA66:AB66"/>
    <mergeCell ref="AD66:AE66"/>
    <mergeCell ref="AH66:AI66"/>
    <mergeCell ref="B67:J67"/>
    <mergeCell ref="M67:N67"/>
    <mergeCell ref="P67:Q67"/>
    <mergeCell ref="T67:V67"/>
    <mergeCell ref="AA67:AB67"/>
    <mergeCell ref="AD67:AE67"/>
    <mergeCell ref="AH67:AI67"/>
    <mergeCell ref="B68:AI68"/>
    <mergeCell ref="B69:F69"/>
    <mergeCell ref="G69:J69"/>
    <mergeCell ref="M69:N69"/>
    <mergeCell ref="P69:Q69"/>
    <mergeCell ref="T69:V69"/>
    <mergeCell ref="AA69:AB69"/>
    <mergeCell ref="AD69:AE69"/>
    <mergeCell ref="AH69:AI69"/>
    <mergeCell ref="B70:F70"/>
    <mergeCell ref="G70:J70"/>
    <mergeCell ref="M70:N70"/>
    <mergeCell ref="P70:Q70"/>
    <mergeCell ref="T70:V70"/>
    <mergeCell ref="AA70:AB70"/>
    <mergeCell ref="AD70:AE70"/>
    <mergeCell ref="AH70:AI70"/>
    <mergeCell ref="B71:J71"/>
    <mergeCell ref="M71:N71"/>
    <mergeCell ref="P71:Q71"/>
    <mergeCell ref="T71:V71"/>
    <mergeCell ref="AA71:AB71"/>
    <mergeCell ref="AD71:AE71"/>
    <mergeCell ref="AH71:AI71"/>
    <mergeCell ref="B72:AI72"/>
    <mergeCell ref="B73:F73"/>
    <mergeCell ref="G73:J73"/>
    <mergeCell ref="M73:N73"/>
    <mergeCell ref="P73:Q73"/>
    <mergeCell ref="T73:V73"/>
    <mergeCell ref="AA73:AB73"/>
    <mergeCell ref="AD73:AE73"/>
    <mergeCell ref="AH73:AI73"/>
    <mergeCell ref="B74:F74"/>
    <mergeCell ref="G74:J74"/>
    <mergeCell ref="M74:N74"/>
    <mergeCell ref="P74:Q74"/>
    <mergeCell ref="T74:V74"/>
    <mergeCell ref="AA74:AB74"/>
    <mergeCell ref="AD74:AE74"/>
    <mergeCell ref="AH74:AI74"/>
    <mergeCell ref="B75:F75"/>
    <mergeCell ref="G75:J75"/>
    <mergeCell ref="M75:N75"/>
    <mergeCell ref="P75:Q75"/>
    <mergeCell ref="T75:V75"/>
    <mergeCell ref="AA75:AB75"/>
    <mergeCell ref="AD75:AE75"/>
    <mergeCell ref="AH75:AI75"/>
    <mergeCell ref="B76:F76"/>
    <mergeCell ref="G76:J76"/>
    <mergeCell ref="M76:N76"/>
    <mergeCell ref="P76:Q76"/>
    <mergeCell ref="T76:V76"/>
    <mergeCell ref="AA76:AB76"/>
    <mergeCell ref="AD76:AE76"/>
    <mergeCell ref="AH76:AI76"/>
    <mergeCell ref="B77:F77"/>
    <mergeCell ref="G77:J77"/>
    <mergeCell ref="M77:N77"/>
    <mergeCell ref="P77:Q77"/>
    <mergeCell ref="T77:V77"/>
    <mergeCell ref="AA77:AB77"/>
    <mergeCell ref="AD77:AE77"/>
    <mergeCell ref="AH77:AI77"/>
    <mergeCell ref="B78:F78"/>
    <mergeCell ref="G78:J78"/>
    <mergeCell ref="M78:N78"/>
    <mergeCell ref="P78:Q78"/>
    <mergeCell ref="T78:V78"/>
    <mergeCell ref="AA78:AB78"/>
    <mergeCell ref="AD78:AE78"/>
    <mergeCell ref="AH78:AI78"/>
    <mergeCell ref="B79:F79"/>
    <mergeCell ref="G79:J79"/>
    <mergeCell ref="M79:N79"/>
    <mergeCell ref="P79:Q79"/>
    <mergeCell ref="T79:V79"/>
    <mergeCell ref="AA79:AB79"/>
    <mergeCell ref="AD79:AE79"/>
    <mergeCell ref="AH79:AI79"/>
    <mergeCell ref="B80:F80"/>
    <mergeCell ref="G80:J80"/>
    <mergeCell ref="M80:N80"/>
    <mergeCell ref="P80:Q80"/>
    <mergeCell ref="T80:V80"/>
    <mergeCell ref="AA80:AB80"/>
    <mergeCell ref="AD80:AE80"/>
    <mergeCell ref="AH80:AI80"/>
    <mergeCell ref="B81:F81"/>
    <mergeCell ref="G81:J81"/>
    <mergeCell ref="M81:N81"/>
    <mergeCell ref="P81:Q81"/>
    <mergeCell ref="T81:V81"/>
    <mergeCell ref="AA81:AB81"/>
    <mergeCell ref="AD81:AE81"/>
    <mergeCell ref="AH81:AI81"/>
    <mergeCell ref="B82:J82"/>
    <mergeCell ref="M82:N82"/>
    <mergeCell ref="P82:Q82"/>
    <mergeCell ref="T82:V82"/>
    <mergeCell ref="AA82:AB82"/>
    <mergeCell ref="AD82:AE82"/>
    <mergeCell ref="AH82:AI82"/>
    <mergeCell ref="B83:AI83"/>
    <mergeCell ref="B84:F84"/>
    <mergeCell ref="G84:J84"/>
    <mergeCell ref="M84:N84"/>
    <mergeCell ref="P84:Q84"/>
    <mergeCell ref="T84:V84"/>
    <mergeCell ref="AA84:AB84"/>
    <mergeCell ref="AD84:AE84"/>
    <mergeCell ref="AH84:AI84"/>
    <mergeCell ref="B85:J85"/>
    <mergeCell ref="M85:N85"/>
    <mergeCell ref="P85:Q85"/>
    <mergeCell ref="T85:V85"/>
    <mergeCell ref="AA85:AB85"/>
    <mergeCell ref="AD85:AE85"/>
    <mergeCell ref="AH85:AI85"/>
    <mergeCell ref="B86:AI86"/>
    <mergeCell ref="B87:F87"/>
    <mergeCell ref="G87:J87"/>
    <mergeCell ref="M87:N87"/>
    <mergeCell ref="P87:Q87"/>
    <mergeCell ref="T87:V87"/>
    <mergeCell ref="AA87:AB87"/>
    <mergeCell ref="AD87:AE87"/>
    <mergeCell ref="AH87:AI87"/>
    <mergeCell ref="B88:F88"/>
    <mergeCell ref="G88:J88"/>
    <mergeCell ref="M88:N88"/>
    <mergeCell ref="P88:Q88"/>
    <mergeCell ref="T88:V88"/>
    <mergeCell ref="AA88:AB88"/>
    <mergeCell ref="AD88:AE88"/>
    <mergeCell ref="AH88:AI88"/>
    <mergeCell ref="B89:F89"/>
    <mergeCell ref="G89:J89"/>
    <mergeCell ref="M89:N89"/>
    <mergeCell ref="P89:Q89"/>
    <mergeCell ref="T89:V89"/>
    <mergeCell ref="AA89:AB89"/>
    <mergeCell ref="AD89:AE89"/>
    <mergeCell ref="AH89:AI89"/>
    <mergeCell ref="B90:F90"/>
    <mergeCell ref="G90:J90"/>
    <mergeCell ref="M90:N90"/>
    <mergeCell ref="P90:Q90"/>
    <mergeCell ref="T90:V90"/>
    <mergeCell ref="AA90:AB90"/>
    <mergeCell ref="AD90:AE90"/>
    <mergeCell ref="AH90:AI90"/>
    <mergeCell ref="B91:J91"/>
    <mergeCell ref="M91:N91"/>
    <mergeCell ref="P91:Q91"/>
    <mergeCell ref="T91:V91"/>
    <mergeCell ref="AA91:AB91"/>
    <mergeCell ref="AD91:AE91"/>
    <mergeCell ref="AH91:AI91"/>
    <mergeCell ref="B92:AI92"/>
    <mergeCell ref="B93:F93"/>
    <mergeCell ref="G93:J93"/>
    <mergeCell ref="M93:N93"/>
    <mergeCell ref="P93:Q93"/>
    <mergeCell ref="T93:V93"/>
    <mergeCell ref="AA93:AB93"/>
    <mergeCell ref="AD93:AE93"/>
    <mergeCell ref="AH93:AI93"/>
    <mergeCell ref="B94:F94"/>
    <mergeCell ref="G94:J94"/>
    <mergeCell ref="M94:N94"/>
    <mergeCell ref="P94:Q94"/>
    <mergeCell ref="T94:V94"/>
    <mergeCell ref="AA94:AB94"/>
    <mergeCell ref="AD94:AE94"/>
    <mergeCell ref="AH94:AI94"/>
    <mergeCell ref="B95:F95"/>
    <mergeCell ref="G95:J95"/>
    <mergeCell ref="M95:N95"/>
    <mergeCell ref="P95:Q95"/>
    <mergeCell ref="T95:V95"/>
    <mergeCell ref="AA95:AB95"/>
    <mergeCell ref="AD95:AE95"/>
    <mergeCell ref="AH95:AI95"/>
    <mergeCell ref="B96:J96"/>
    <mergeCell ref="M96:N96"/>
    <mergeCell ref="P96:Q96"/>
    <mergeCell ref="T96:V96"/>
    <mergeCell ref="AA96:AB96"/>
    <mergeCell ref="AD96:AE96"/>
    <mergeCell ref="AH96:AI96"/>
    <mergeCell ref="B97:AI97"/>
    <mergeCell ref="B98:AI98"/>
    <mergeCell ref="B99:F99"/>
    <mergeCell ref="G99:J99"/>
    <mergeCell ref="M99:N99"/>
    <mergeCell ref="P99:Q99"/>
    <mergeCell ref="T99:V99"/>
    <mergeCell ref="AA99:AB99"/>
    <mergeCell ref="AD99:AE99"/>
    <mergeCell ref="AH99:AI99"/>
    <mergeCell ref="B100:F100"/>
    <mergeCell ref="G100:J100"/>
    <mergeCell ref="M100:N100"/>
    <mergeCell ref="P100:Q100"/>
    <mergeCell ref="T100:V100"/>
    <mergeCell ref="AA100:AB100"/>
    <mergeCell ref="AD100:AE100"/>
    <mergeCell ref="AH100:AI100"/>
    <mergeCell ref="B101:F101"/>
    <mergeCell ref="G101:J101"/>
    <mergeCell ref="M101:N101"/>
    <mergeCell ref="P101:Q101"/>
    <mergeCell ref="T101:V101"/>
    <mergeCell ref="AA101:AB101"/>
    <mergeCell ref="AD101:AE101"/>
    <mergeCell ref="AH101:AI101"/>
    <mergeCell ref="B102:F102"/>
    <mergeCell ref="G102:J102"/>
    <mergeCell ref="M102:N102"/>
    <mergeCell ref="P102:Q102"/>
    <mergeCell ref="T102:V102"/>
    <mergeCell ref="AA102:AB102"/>
    <mergeCell ref="AD102:AE102"/>
    <mergeCell ref="AH102:AI102"/>
    <mergeCell ref="B103:F103"/>
    <mergeCell ref="G103:J103"/>
    <mergeCell ref="M103:N103"/>
    <mergeCell ref="P103:Q103"/>
    <mergeCell ref="T103:V103"/>
    <mergeCell ref="AA103:AB103"/>
    <mergeCell ref="AD103:AE103"/>
    <mergeCell ref="AH103:AI103"/>
    <mergeCell ref="B104:F104"/>
    <mergeCell ref="G104:J104"/>
    <mergeCell ref="M104:N104"/>
    <mergeCell ref="P104:Q104"/>
    <mergeCell ref="T104:V104"/>
    <mergeCell ref="AA104:AB104"/>
    <mergeCell ref="AD104:AE104"/>
    <mergeCell ref="AH104:AI104"/>
    <mergeCell ref="B105:J105"/>
    <mergeCell ref="M105:N105"/>
    <mergeCell ref="P105:Q105"/>
    <mergeCell ref="T105:V105"/>
    <mergeCell ref="AA105:AB105"/>
    <mergeCell ref="AD105:AE105"/>
    <mergeCell ref="AH105:AI105"/>
    <mergeCell ref="B106:AI106"/>
    <mergeCell ref="B107:F107"/>
    <mergeCell ref="G107:J107"/>
    <mergeCell ref="M107:N107"/>
    <mergeCell ref="P107:Q107"/>
    <mergeCell ref="T107:V107"/>
    <mergeCell ref="AA107:AB107"/>
    <mergeCell ref="AD107:AE107"/>
    <mergeCell ref="AH107:AI107"/>
    <mergeCell ref="B108:J108"/>
    <mergeCell ref="M108:N108"/>
    <mergeCell ref="P108:Q108"/>
    <mergeCell ref="T108:V108"/>
    <mergeCell ref="AA108:AB108"/>
    <mergeCell ref="AD108:AE108"/>
    <mergeCell ref="AH108:AI108"/>
    <mergeCell ref="B109:AI109"/>
    <mergeCell ref="B110:F110"/>
    <mergeCell ref="G110:J110"/>
    <mergeCell ref="M110:N110"/>
    <mergeCell ref="P110:Q110"/>
    <mergeCell ref="T110:V110"/>
    <mergeCell ref="AA110:AB110"/>
    <mergeCell ref="AD110:AE110"/>
    <mergeCell ref="AH110:AI110"/>
    <mergeCell ref="B111:F111"/>
    <mergeCell ref="G111:J111"/>
    <mergeCell ref="M111:N111"/>
    <mergeCell ref="P111:Q111"/>
    <mergeCell ref="T111:V111"/>
    <mergeCell ref="AA111:AB111"/>
    <mergeCell ref="AD111:AE111"/>
    <mergeCell ref="AH111:AI111"/>
    <mergeCell ref="B112:F112"/>
    <mergeCell ref="G112:J112"/>
    <mergeCell ref="M112:N112"/>
    <mergeCell ref="P112:Q112"/>
    <mergeCell ref="T112:V112"/>
    <mergeCell ref="AA112:AB112"/>
    <mergeCell ref="AD112:AE112"/>
    <mergeCell ref="AH112:AI112"/>
    <mergeCell ref="B113:F113"/>
    <mergeCell ref="G113:J113"/>
    <mergeCell ref="M113:N113"/>
    <mergeCell ref="P113:Q113"/>
    <mergeCell ref="T113:V113"/>
    <mergeCell ref="AA113:AB113"/>
    <mergeCell ref="AD113:AE113"/>
    <mergeCell ref="AH113:AI113"/>
    <mergeCell ref="B114:F114"/>
    <mergeCell ref="G114:J114"/>
    <mergeCell ref="M114:N114"/>
    <mergeCell ref="P114:Q114"/>
    <mergeCell ref="T114:V114"/>
    <mergeCell ref="AA114:AB114"/>
    <mergeCell ref="AD114:AE114"/>
    <mergeCell ref="AH114:AI114"/>
    <mergeCell ref="B115:F115"/>
    <mergeCell ref="G115:J115"/>
    <mergeCell ref="M115:N115"/>
    <mergeCell ref="P115:Q115"/>
    <mergeCell ref="T115:V115"/>
    <mergeCell ref="AA115:AB115"/>
    <mergeCell ref="AD115:AE115"/>
    <mergeCell ref="AH115:AI115"/>
    <mergeCell ref="B116:F116"/>
    <mergeCell ref="G116:J116"/>
    <mergeCell ref="M116:N116"/>
    <mergeCell ref="P116:Q116"/>
    <mergeCell ref="T116:V116"/>
    <mergeCell ref="AA116:AB116"/>
    <mergeCell ref="AD116:AE116"/>
    <mergeCell ref="AH116:AI116"/>
    <mergeCell ref="B117:F117"/>
    <mergeCell ref="G117:J117"/>
    <mergeCell ref="M117:N117"/>
    <mergeCell ref="P117:Q117"/>
    <mergeCell ref="T117:V117"/>
    <mergeCell ref="AA117:AB117"/>
    <mergeCell ref="AD117:AE117"/>
    <mergeCell ref="AH117:AI117"/>
    <mergeCell ref="B118:F118"/>
    <mergeCell ref="G118:J118"/>
    <mergeCell ref="M118:N118"/>
    <mergeCell ref="P118:Q118"/>
    <mergeCell ref="T118:V118"/>
    <mergeCell ref="AA118:AB118"/>
    <mergeCell ref="AD118:AE118"/>
    <mergeCell ref="AH118:AI118"/>
    <mergeCell ref="B119:J119"/>
    <mergeCell ref="M119:N119"/>
    <mergeCell ref="P119:Q119"/>
    <mergeCell ref="T119:V119"/>
    <mergeCell ref="AA119:AB119"/>
    <mergeCell ref="AD119:AE119"/>
    <mergeCell ref="AH119:AI119"/>
    <mergeCell ref="B120:AI120"/>
    <mergeCell ref="B121:F121"/>
    <mergeCell ref="G121:J121"/>
    <mergeCell ref="M121:N121"/>
    <mergeCell ref="P121:Q121"/>
    <mergeCell ref="T121:V121"/>
    <mergeCell ref="AA121:AB121"/>
    <mergeCell ref="AD121:AE121"/>
    <mergeCell ref="AH121:AI121"/>
    <mergeCell ref="B122:J122"/>
    <mergeCell ref="M122:N122"/>
    <mergeCell ref="P122:Q122"/>
    <mergeCell ref="T122:V122"/>
    <mergeCell ref="AA122:AB122"/>
    <mergeCell ref="AD122:AE122"/>
    <mergeCell ref="AH122:AI122"/>
    <mergeCell ref="B123:AI123"/>
    <mergeCell ref="B124:F124"/>
    <mergeCell ref="G124:J124"/>
    <mergeCell ref="M124:N124"/>
    <mergeCell ref="P124:Q124"/>
    <mergeCell ref="T124:V124"/>
    <mergeCell ref="AA124:AB124"/>
    <mergeCell ref="AD124:AE124"/>
    <mergeCell ref="AH124:AI124"/>
    <mergeCell ref="B125:F125"/>
    <mergeCell ref="G125:J125"/>
    <mergeCell ref="M125:N125"/>
    <mergeCell ref="P125:Q125"/>
    <mergeCell ref="T125:V125"/>
    <mergeCell ref="AA125:AB125"/>
    <mergeCell ref="AD125:AE125"/>
    <mergeCell ref="AH125:AI125"/>
    <mergeCell ref="B126:F126"/>
    <mergeCell ref="G126:J126"/>
    <mergeCell ref="M126:N126"/>
    <mergeCell ref="P126:Q126"/>
    <mergeCell ref="T126:V126"/>
    <mergeCell ref="AA126:AB126"/>
    <mergeCell ref="AD126:AE126"/>
    <mergeCell ref="AH126:AI126"/>
    <mergeCell ref="B127:F127"/>
    <mergeCell ref="G127:J127"/>
    <mergeCell ref="M127:N127"/>
    <mergeCell ref="P127:Q127"/>
    <mergeCell ref="T127:V127"/>
    <mergeCell ref="AA127:AB127"/>
    <mergeCell ref="AD127:AE127"/>
    <mergeCell ref="AH127:AI127"/>
    <mergeCell ref="B128:F128"/>
    <mergeCell ref="G128:J128"/>
    <mergeCell ref="M128:N128"/>
    <mergeCell ref="P128:Q128"/>
    <mergeCell ref="T128:V128"/>
    <mergeCell ref="AA128:AB128"/>
    <mergeCell ref="AD128:AE128"/>
    <mergeCell ref="AH128:AI128"/>
    <mergeCell ref="B129:F129"/>
    <mergeCell ref="G129:J129"/>
    <mergeCell ref="M129:N129"/>
    <mergeCell ref="P129:Q129"/>
    <mergeCell ref="T129:V129"/>
    <mergeCell ref="AA129:AB129"/>
    <mergeCell ref="AD129:AE129"/>
    <mergeCell ref="AH129:AI129"/>
    <mergeCell ref="B130:F130"/>
    <mergeCell ref="G130:J130"/>
    <mergeCell ref="M130:N130"/>
    <mergeCell ref="P130:Q130"/>
    <mergeCell ref="T130:V130"/>
    <mergeCell ref="AA130:AB130"/>
    <mergeCell ref="AD130:AE130"/>
    <mergeCell ref="AH130:AI130"/>
    <mergeCell ref="B131:J131"/>
    <mergeCell ref="M131:N131"/>
    <mergeCell ref="P131:Q131"/>
    <mergeCell ref="T131:V131"/>
    <mergeCell ref="AA131:AB131"/>
    <mergeCell ref="AD131:AE131"/>
    <mergeCell ref="AH131:AI131"/>
    <mergeCell ref="B132:AI132"/>
    <mergeCell ref="B133:F133"/>
    <mergeCell ref="G133:J133"/>
    <mergeCell ref="M133:N133"/>
    <mergeCell ref="P133:Q133"/>
    <mergeCell ref="T133:V133"/>
    <mergeCell ref="AA133:AB133"/>
    <mergeCell ref="AD133:AE133"/>
    <mergeCell ref="AH133:AI133"/>
    <mergeCell ref="B134:J134"/>
    <mergeCell ref="M134:N134"/>
    <mergeCell ref="P134:Q134"/>
    <mergeCell ref="T134:V134"/>
    <mergeCell ref="AA134:AB134"/>
    <mergeCell ref="AD134:AE134"/>
    <mergeCell ref="AH134:AI134"/>
    <mergeCell ref="B135:AI135"/>
    <mergeCell ref="B136:F136"/>
    <mergeCell ref="G136:J136"/>
    <mergeCell ref="M136:N136"/>
    <mergeCell ref="P136:Q136"/>
    <mergeCell ref="T136:V136"/>
    <mergeCell ref="AA136:AB136"/>
    <mergeCell ref="AD136:AE136"/>
    <mergeCell ref="AH136:AI136"/>
    <mergeCell ref="B137:F137"/>
    <mergeCell ref="G137:J137"/>
    <mergeCell ref="M137:N137"/>
    <mergeCell ref="P137:Q137"/>
    <mergeCell ref="T137:V137"/>
    <mergeCell ref="AA137:AB137"/>
    <mergeCell ref="AD137:AE137"/>
    <mergeCell ref="AH137:AI137"/>
    <mergeCell ref="B138:J138"/>
    <mergeCell ref="M138:N138"/>
    <mergeCell ref="P138:Q138"/>
    <mergeCell ref="T138:V138"/>
    <mergeCell ref="AA138:AB138"/>
    <mergeCell ref="AD138:AE138"/>
    <mergeCell ref="AH138:AI138"/>
    <mergeCell ref="B139:AI139"/>
    <mergeCell ref="B140:F140"/>
    <mergeCell ref="G140:J140"/>
    <mergeCell ref="M140:N140"/>
    <mergeCell ref="P140:Q140"/>
    <mergeCell ref="T140:V140"/>
    <mergeCell ref="AA140:AB140"/>
    <mergeCell ref="AD140:AE140"/>
    <mergeCell ref="AH140:AI140"/>
    <mergeCell ref="B141:F141"/>
    <mergeCell ref="G141:J141"/>
    <mergeCell ref="M141:N141"/>
    <mergeCell ref="P141:Q141"/>
    <mergeCell ref="T141:V141"/>
    <mergeCell ref="AA141:AB141"/>
    <mergeCell ref="AD141:AE141"/>
    <mergeCell ref="AH141:AI141"/>
    <mergeCell ref="B142:F142"/>
    <mergeCell ref="G142:J142"/>
    <mergeCell ref="M142:N142"/>
    <mergeCell ref="P142:Q142"/>
    <mergeCell ref="T142:V142"/>
    <mergeCell ref="AA142:AB142"/>
    <mergeCell ref="AD142:AE142"/>
    <mergeCell ref="AH142:AI142"/>
    <mergeCell ref="B143:F143"/>
    <mergeCell ref="G143:J143"/>
    <mergeCell ref="M143:N143"/>
    <mergeCell ref="P143:Q143"/>
    <mergeCell ref="T143:V143"/>
    <mergeCell ref="AA143:AB143"/>
    <mergeCell ref="AD143:AE143"/>
    <mergeCell ref="AH143:AI143"/>
    <mergeCell ref="B144:F144"/>
    <mergeCell ref="G144:J144"/>
    <mergeCell ref="M144:N144"/>
    <mergeCell ref="P144:Q144"/>
    <mergeCell ref="T144:V144"/>
    <mergeCell ref="AA144:AB144"/>
    <mergeCell ref="AD144:AE144"/>
    <mergeCell ref="AH144:AI144"/>
    <mergeCell ref="B145:F145"/>
    <mergeCell ref="G145:J145"/>
    <mergeCell ref="M145:N145"/>
    <mergeCell ref="P145:Q145"/>
    <mergeCell ref="T145:V145"/>
    <mergeCell ref="AA145:AB145"/>
    <mergeCell ref="AD145:AE145"/>
    <mergeCell ref="AH145:AI145"/>
    <mergeCell ref="B146:F146"/>
    <mergeCell ref="G146:J146"/>
    <mergeCell ref="M146:N146"/>
    <mergeCell ref="P146:Q146"/>
    <mergeCell ref="T146:V146"/>
    <mergeCell ref="AA146:AB146"/>
    <mergeCell ref="AD146:AE146"/>
    <mergeCell ref="AH146:AI146"/>
    <mergeCell ref="B147:F147"/>
    <mergeCell ref="G147:J147"/>
    <mergeCell ref="M147:N147"/>
    <mergeCell ref="P147:Q147"/>
    <mergeCell ref="T147:V147"/>
    <mergeCell ref="AA147:AB147"/>
    <mergeCell ref="AD147:AE147"/>
    <mergeCell ref="AH147:AI147"/>
    <mergeCell ref="B148:J148"/>
    <mergeCell ref="M148:N148"/>
    <mergeCell ref="P148:Q148"/>
    <mergeCell ref="T148:V148"/>
    <mergeCell ref="AA148:AB148"/>
    <mergeCell ref="AD148:AE148"/>
    <mergeCell ref="AH148:AI148"/>
    <mergeCell ref="B149:AI149"/>
    <mergeCell ref="B150:F150"/>
    <mergeCell ref="G150:J150"/>
    <mergeCell ref="M150:N150"/>
    <mergeCell ref="P150:Q150"/>
    <mergeCell ref="T150:V150"/>
    <mergeCell ref="AA150:AB150"/>
    <mergeCell ref="AD150:AE150"/>
    <mergeCell ref="AH150:AI150"/>
    <mergeCell ref="B151:F151"/>
    <mergeCell ref="G151:J151"/>
    <mergeCell ref="M151:N151"/>
    <mergeCell ref="P151:Q151"/>
    <mergeCell ref="T151:V151"/>
    <mergeCell ref="AA151:AB151"/>
    <mergeCell ref="AD151:AE151"/>
    <mergeCell ref="AH151:AI151"/>
    <mergeCell ref="B152:F152"/>
    <mergeCell ref="G152:J152"/>
    <mergeCell ref="M152:N152"/>
    <mergeCell ref="P152:Q152"/>
    <mergeCell ref="T152:V152"/>
    <mergeCell ref="AA152:AB152"/>
    <mergeCell ref="AD152:AE152"/>
    <mergeCell ref="AH152:AI152"/>
    <mergeCell ref="B153:F153"/>
    <mergeCell ref="G153:J153"/>
    <mergeCell ref="M153:N153"/>
    <mergeCell ref="P153:Q153"/>
    <mergeCell ref="T153:V153"/>
    <mergeCell ref="AA153:AB153"/>
    <mergeCell ref="AD153:AE153"/>
    <mergeCell ref="AH153:AI153"/>
    <mergeCell ref="B154:F154"/>
    <mergeCell ref="G154:J154"/>
    <mergeCell ref="M154:N154"/>
    <mergeCell ref="P154:Q154"/>
    <mergeCell ref="T154:V154"/>
    <mergeCell ref="AA154:AB154"/>
    <mergeCell ref="AD154:AE154"/>
    <mergeCell ref="AH154:AI154"/>
    <mergeCell ref="B155:F155"/>
    <mergeCell ref="G155:J155"/>
    <mergeCell ref="M155:N155"/>
    <mergeCell ref="P155:Q155"/>
    <mergeCell ref="T155:V155"/>
    <mergeCell ref="AA155:AB155"/>
    <mergeCell ref="AD155:AE155"/>
    <mergeCell ref="AH155:AI155"/>
    <mergeCell ref="B156:F156"/>
    <mergeCell ref="G156:J156"/>
    <mergeCell ref="M156:N156"/>
    <mergeCell ref="P156:Q156"/>
    <mergeCell ref="T156:V156"/>
    <mergeCell ref="AA156:AB156"/>
    <mergeCell ref="AD156:AE156"/>
    <mergeCell ref="AH156:AI156"/>
    <mergeCell ref="B157:F157"/>
    <mergeCell ref="G157:J157"/>
    <mergeCell ref="M157:N157"/>
    <mergeCell ref="P157:Q157"/>
    <mergeCell ref="T157:V157"/>
    <mergeCell ref="AA157:AB157"/>
    <mergeCell ref="AD157:AE157"/>
    <mergeCell ref="AH157:AI157"/>
    <mergeCell ref="B158:F158"/>
    <mergeCell ref="G158:J158"/>
    <mergeCell ref="M158:N158"/>
    <mergeCell ref="P158:Q158"/>
    <mergeCell ref="T158:V158"/>
    <mergeCell ref="AA158:AB158"/>
    <mergeCell ref="AD158:AE158"/>
    <mergeCell ref="AH158:AI158"/>
    <mergeCell ref="B159:F159"/>
    <mergeCell ref="G159:J159"/>
    <mergeCell ref="M159:N159"/>
    <mergeCell ref="P159:Q159"/>
    <mergeCell ref="T159:V159"/>
    <mergeCell ref="AA159:AB159"/>
    <mergeCell ref="AD159:AE159"/>
    <mergeCell ref="AH159:AI159"/>
    <mergeCell ref="B160:F160"/>
    <mergeCell ref="G160:J160"/>
    <mergeCell ref="M160:N160"/>
    <mergeCell ref="P160:Q160"/>
    <mergeCell ref="T160:V160"/>
    <mergeCell ref="AA160:AB160"/>
    <mergeCell ref="AD160:AE160"/>
    <mergeCell ref="AH160:AI160"/>
    <mergeCell ref="B161:F161"/>
    <mergeCell ref="G161:J161"/>
    <mergeCell ref="M161:N161"/>
    <mergeCell ref="P161:Q161"/>
    <mergeCell ref="T161:V161"/>
    <mergeCell ref="AA161:AB161"/>
    <mergeCell ref="AD161:AE161"/>
    <mergeCell ref="AH161:AI161"/>
    <mergeCell ref="B162:F162"/>
    <mergeCell ref="G162:J162"/>
    <mergeCell ref="M162:N162"/>
    <mergeCell ref="P162:Q162"/>
    <mergeCell ref="T162:V162"/>
    <mergeCell ref="AA162:AB162"/>
    <mergeCell ref="AD162:AE162"/>
    <mergeCell ref="AH162:AI162"/>
    <mergeCell ref="B163:F163"/>
    <mergeCell ref="G163:J163"/>
    <mergeCell ref="M163:N163"/>
    <mergeCell ref="P163:Q163"/>
    <mergeCell ref="T163:V163"/>
    <mergeCell ref="AA163:AB163"/>
    <mergeCell ref="AD163:AE163"/>
    <mergeCell ref="AH163:AI163"/>
    <mergeCell ref="B164:F164"/>
    <mergeCell ref="G164:J164"/>
    <mergeCell ref="M164:N164"/>
    <mergeCell ref="P164:Q164"/>
    <mergeCell ref="T164:V164"/>
    <mergeCell ref="AA164:AB164"/>
    <mergeCell ref="AD164:AE164"/>
    <mergeCell ref="AH164:AI164"/>
    <mergeCell ref="B165:F165"/>
    <mergeCell ref="G165:J165"/>
    <mergeCell ref="M165:N165"/>
    <mergeCell ref="P165:Q165"/>
    <mergeCell ref="T165:V165"/>
    <mergeCell ref="AA165:AB165"/>
    <mergeCell ref="AD165:AE165"/>
    <mergeCell ref="AH165:AI165"/>
    <mergeCell ref="B166:F166"/>
    <mergeCell ref="G166:J166"/>
    <mergeCell ref="M166:N166"/>
    <mergeCell ref="P166:Q166"/>
    <mergeCell ref="T166:V166"/>
    <mergeCell ref="AA166:AB166"/>
    <mergeCell ref="AD166:AE166"/>
    <mergeCell ref="AH166:AI166"/>
    <mergeCell ref="B167:F167"/>
    <mergeCell ref="G167:J167"/>
    <mergeCell ref="M167:N167"/>
    <mergeCell ref="P167:Q167"/>
    <mergeCell ref="T167:V167"/>
    <mergeCell ref="AA167:AB167"/>
    <mergeCell ref="AD167:AE167"/>
    <mergeCell ref="AH167:AI167"/>
    <mergeCell ref="B168:J168"/>
    <mergeCell ref="M168:N168"/>
    <mergeCell ref="P168:Q168"/>
    <mergeCell ref="T168:V168"/>
    <mergeCell ref="AA168:AB168"/>
    <mergeCell ref="AD168:AE168"/>
    <mergeCell ref="AH168:AI168"/>
    <mergeCell ref="B169:AI169"/>
    <mergeCell ref="B170:F170"/>
    <mergeCell ref="G170:J170"/>
    <mergeCell ref="M170:N170"/>
    <mergeCell ref="P170:Q170"/>
    <mergeCell ref="T170:V170"/>
    <mergeCell ref="AA170:AB170"/>
    <mergeCell ref="AD170:AE170"/>
    <mergeCell ref="AH170:AI170"/>
    <mergeCell ref="B171:F171"/>
    <mergeCell ref="G171:J171"/>
    <mergeCell ref="M171:N171"/>
    <mergeCell ref="P171:Q171"/>
    <mergeCell ref="T171:V171"/>
    <mergeCell ref="AA171:AB171"/>
    <mergeCell ref="AD171:AE171"/>
    <mergeCell ref="AH171:AI171"/>
    <mergeCell ref="B172:F172"/>
    <mergeCell ref="G172:J172"/>
    <mergeCell ref="M172:N172"/>
    <mergeCell ref="P172:Q172"/>
    <mergeCell ref="T172:V172"/>
    <mergeCell ref="AA172:AB172"/>
    <mergeCell ref="AD172:AE172"/>
    <mergeCell ref="AH172:AI172"/>
    <mergeCell ref="B173:F173"/>
    <mergeCell ref="G173:J173"/>
    <mergeCell ref="M173:N173"/>
    <mergeCell ref="P173:Q173"/>
    <mergeCell ref="T173:V173"/>
    <mergeCell ref="AA173:AB173"/>
    <mergeCell ref="AD173:AE173"/>
    <mergeCell ref="AH173:AI173"/>
    <mergeCell ref="B174:F174"/>
    <mergeCell ref="G174:J174"/>
    <mergeCell ref="M174:N174"/>
    <mergeCell ref="P174:Q174"/>
    <mergeCell ref="T174:V174"/>
    <mergeCell ref="AA174:AB174"/>
    <mergeCell ref="AD174:AE174"/>
    <mergeCell ref="AH174:AI174"/>
    <mergeCell ref="B175:F175"/>
    <mergeCell ref="G175:J175"/>
    <mergeCell ref="M175:N175"/>
    <mergeCell ref="P175:Q175"/>
    <mergeCell ref="T175:V175"/>
    <mergeCell ref="AA175:AB175"/>
    <mergeCell ref="AD175:AE175"/>
    <mergeCell ref="AH175:AI175"/>
    <mergeCell ref="B176:F176"/>
    <mergeCell ref="G176:J176"/>
    <mergeCell ref="M176:N176"/>
    <mergeCell ref="P176:Q176"/>
    <mergeCell ref="T176:V176"/>
    <mergeCell ref="AA176:AB176"/>
    <mergeCell ref="AD176:AE176"/>
    <mergeCell ref="AH176:AI176"/>
    <mergeCell ref="B177:F177"/>
    <mergeCell ref="G177:J177"/>
    <mergeCell ref="M177:N177"/>
    <mergeCell ref="P177:Q177"/>
    <mergeCell ref="T177:V177"/>
    <mergeCell ref="AA177:AB177"/>
    <mergeCell ref="AD177:AE177"/>
    <mergeCell ref="AH177:AI177"/>
    <mergeCell ref="B178:F178"/>
    <mergeCell ref="G178:J178"/>
    <mergeCell ref="M178:N178"/>
    <mergeCell ref="P178:Q178"/>
    <mergeCell ref="T178:V178"/>
    <mergeCell ref="AA178:AB178"/>
    <mergeCell ref="AD178:AE178"/>
    <mergeCell ref="AH178:AI178"/>
    <mergeCell ref="B179:F179"/>
    <mergeCell ref="G179:J179"/>
    <mergeCell ref="M179:N179"/>
    <mergeCell ref="P179:Q179"/>
    <mergeCell ref="T179:V179"/>
    <mergeCell ref="AA179:AB179"/>
    <mergeCell ref="AD179:AE179"/>
    <mergeCell ref="AH179:AI179"/>
    <mergeCell ref="B180:J180"/>
    <mergeCell ref="M180:N180"/>
    <mergeCell ref="P180:Q180"/>
    <mergeCell ref="T180:V180"/>
    <mergeCell ref="AA180:AB180"/>
    <mergeCell ref="AD180:AE180"/>
    <mergeCell ref="AH180:AI180"/>
    <mergeCell ref="B181:AI181"/>
    <mergeCell ref="B182:F182"/>
    <mergeCell ref="G182:J182"/>
    <mergeCell ref="M182:N182"/>
    <mergeCell ref="P182:Q182"/>
    <mergeCell ref="T182:V182"/>
    <mergeCell ref="AA182:AB182"/>
    <mergeCell ref="AD182:AE182"/>
    <mergeCell ref="AH182:AI182"/>
    <mergeCell ref="B183:J183"/>
    <mergeCell ref="M183:N183"/>
    <mergeCell ref="P183:Q183"/>
    <mergeCell ref="T183:V183"/>
    <mergeCell ref="AA183:AB183"/>
    <mergeCell ref="AD183:AE183"/>
    <mergeCell ref="AH183:AI183"/>
    <mergeCell ref="B184:AI184"/>
    <mergeCell ref="B185:F185"/>
    <mergeCell ref="G185:J185"/>
    <mergeCell ref="M185:N185"/>
    <mergeCell ref="P185:Q185"/>
    <mergeCell ref="T185:V185"/>
    <mergeCell ref="AA185:AB185"/>
    <mergeCell ref="AD185:AE185"/>
    <mergeCell ref="AH185:AI185"/>
    <mergeCell ref="B186:J186"/>
    <mergeCell ref="M186:N186"/>
    <mergeCell ref="P186:Q186"/>
    <mergeCell ref="T186:V186"/>
    <mergeCell ref="AA186:AB186"/>
    <mergeCell ref="AD186:AE186"/>
    <mergeCell ref="AH186:AI186"/>
    <mergeCell ref="B187:AI187"/>
    <mergeCell ref="B188:F188"/>
    <mergeCell ref="G188:J188"/>
    <mergeCell ref="M188:N188"/>
    <mergeCell ref="P188:Q188"/>
    <mergeCell ref="T188:V188"/>
    <mergeCell ref="AA188:AB188"/>
    <mergeCell ref="AD188:AE188"/>
    <mergeCell ref="AH188:AI188"/>
    <mergeCell ref="B189:F189"/>
    <mergeCell ref="G189:J189"/>
    <mergeCell ref="M189:N189"/>
    <mergeCell ref="P189:Q189"/>
    <mergeCell ref="T189:V189"/>
    <mergeCell ref="AA189:AB189"/>
    <mergeCell ref="AD189:AE189"/>
    <mergeCell ref="AH189:AI189"/>
    <mergeCell ref="B190:F190"/>
    <mergeCell ref="G190:J190"/>
    <mergeCell ref="M190:N190"/>
    <mergeCell ref="P190:Q190"/>
    <mergeCell ref="T190:V190"/>
    <mergeCell ref="AA190:AB190"/>
    <mergeCell ref="AD190:AE190"/>
    <mergeCell ref="AH190:AI190"/>
    <mergeCell ref="B191:F191"/>
    <mergeCell ref="G191:J191"/>
    <mergeCell ref="M191:N191"/>
    <mergeCell ref="P191:Q191"/>
    <mergeCell ref="T191:V191"/>
    <mergeCell ref="AA191:AB191"/>
    <mergeCell ref="AD191:AE191"/>
    <mergeCell ref="AH191:AI191"/>
    <mergeCell ref="B192:F192"/>
    <mergeCell ref="G192:J192"/>
    <mergeCell ref="M192:N192"/>
    <mergeCell ref="P192:Q192"/>
    <mergeCell ref="T192:V192"/>
    <mergeCell ref="AA192:AB192"/>
    <mergeCell ref="AD192:AE192"/>
    <mergeCell ref="AH192:AI192"/>
    <mergeCell ref="B193:F193"/>
    <mergeCell ref="G193:J193"/>
    <mergeCell ref="M193:N193"/>
    <mergeCell ref="P193:Q193"/>
    <mergeCell ref="T193:V193"/>
    <mergeCell ref="AA193:AB193"/>
    <mergeCell ref="AD193:AE193"/>
    <mergeCell ref="AH193:AI193"/>
    <mergeCell ref="B194:F194"/>
    <mergeCell ref="G194:J194"/>
    <mergeCell ref="M194:N194"/>
    <mergeCell ref="P194:Q194"/>
    <mergeCell ref="T194:V194"/>
    <mergeCell ref="AA194:AB194"/>
    <mergeCell ref="AD194:AE194"/>
    <mergeCell ref="AH194:AI194"/>
    <mergeCell ref="B195:F195"/>
    <mergeCell ref="G195:J195"/>
    <mergeCell ref="M195:N195"/>
    <mergeCell ref="P195:Q195"/>
    <mergeCell ref="T195:V195"/>
    <mergeCell ref="AA195:AB195"/>
    <mergeCell ref="AD195:AE195"/>
    <mergeCell ref="AH195:AI195"/>
    <mergeCell ref="B196:J196"/>
    <mergeCell ref="M196:N196"/>
    <mergeCell ref="P196:Q196"/>
    <mergeCell ref="T196:V196"/>
    <mergeCell ref="AA196:AB196"/>
    <mergeCell ref="AD196:AE196"/>
    <mergeCell ref="AH196:AI196"/>
    <mergeCell ref="B197:J197"/>
    <mergeCell ref="M197:N197"/>
    <mergeCell ref="P197:Q197"/>
    <mergeCell ref="T197:V197"/>
    <mergeCell ref="AA197:AB197"/>
    <mergeCell ref="AD197:AE197"/>
    <mergeCell ref="AH197:AI197"/>
    <mergeCell ref="A1:P3"/>
    <mergeCell ref="Q2:U3"/>
    <mergeCell ref="AB3:AH8"/>
    <mergeCell ref="J200:M200"/>
    <mergeCell ref="C200:C201"/>
    <mergeCell ref="E200:H201"/>
    <mergeCell ref="AE200:AH201"/>
  </mergeCells>
  <pageMargins left="0.25" right="0.25" top="0.25" bottom="0.25" header="0.3" footer="0.3"/>
  <pageSetup paperSize="9" scale="109" fitToHeight="0" orientation="landscape"/>
  <rowBreaks count="7" manualBreakCount="7">
    <brk id="30" max="35" man="1"/>
    <brk id="53" max="35" man="1"/>
    <brk id="76" max="35" man="1"/>
    <brk id="99" max="35" man="1"/>
    <brk id="122" max="35" man="1"/>
    <brk id="145" max="35" man="1"/>
    <brk id="168" max="35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TitlesOfParts>
    <vt:vector size="1" baseType="lpstr">
      <vt:lpstr>Rekap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Laporan Rekapitulasi Kehadiran FHISIP UT</dc:title>
  <dc:creator>Dashboard Presensi FHISIP Universitas Terbuka</dc:creator>
  <dcterms:created xsi:type="dcterms:W3CDTF">2026-10-29T06:53:21.805Z</dcterms:created>
  <dcterms:modified xsi:type="dcterms:W3CDTF">2026-10-29T06:53:21.805Z</dcterms:modified>
</cp:coreProperties>
</file>